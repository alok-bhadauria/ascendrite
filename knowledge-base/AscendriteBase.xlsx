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ascendrite\knowledge-base\"/>
    </mc:Choice>
  </mc:AlternateContent>
  <xr:revisionPtr revIDLastSave="0" documentId="13_ncr:1_{1F193F7D-A27F-4418-8A3A-212D3258D04C}" xr6:coauthVersionLast="47" xr6:coauthVersionMax="47" xr10:uidLastSave="{00000000-0000-0000-0000-000000000000}"/>
  <bookViews>
    <workbookView xWindow="-120" yWindow="-120" windowWidth="38640" windowHeight="20970" activeTab="2" xr2:uid="{00000000-000D-0000-FFFF-FFFF00000000}"/>
  </bookViews>
  <sheets>
    <sheet name="Dashboard" sheetId="1" r:id="rId1"/>
    <sheet name="Subject Map" sheetId="2" r:id="rId2"/>
    <sheet name="Tracker" sheetId="3" r:id="rId3"/>
    <sheet name="Software Engineering" sheetId="4" r:id="rId4"/>
    <sheet name="AI" sheetId="5" r:id="rId5"/>
    <sheet name="Core CS" sheetId="6" r:id="rId6"/>
    <sheet name="Aptitude" sheetId="7" r:id="rId7"/>
    <sheet name="Web Development" sheetId="8" r:id="rId8"/>
    <sheet name="Resources" sheetId="9" r:id="rId9"/>
    <sheet name="Examples" sheetId="10" r:id="rId10"/>
    <sheet name="Diagram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3" l="1"/>
  <c r="I27" i="3"/>
  <c r="I26" i="3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  <c r="J4" i="3"/>
  <c r="K4" i="3" s="1"/>
  <c r="J3" i="3"/>
  <c r="K3" i="3" s="1"/>
  <c r="J2" i="3"/>
  <c r="D14" i="1"/>
  <c r="E14" i="1" s="1"/>
  <c r="C14" i="1"/>
  <c r="D13" i="1"/>
  <c r="C13" i="1"/>
  <c r="E13" i="1" s="1"/>
  <c r="V12" i="1"/>
  <c r="D12" i="1"/>
  <c r="C12" i="1"/>
  <c r="E12" i="1" s="1"/>
  <c r="V11" i="1"/>
  <c r="D11" i="1"/>
  <c r="E11" i="1" s="1"/>
  <c r="C11" i="1"/>
  <c r="V10" i="1"/>
  <c r="D10" i="1"/>
  <c r="C10" i="1"/>
  <c r="H5" i="1"/>
  <c r="F5" i="1"/>
  <c r="D5" i="1"/>
  <c r="B5" i="1"/>
  <c r="D19" i="1" l="1"/>
  <c r="D15" i="1"/>
  <c r="C15" i="1"/>
  <c r="D20" i="1"/>
  <c r="D21" i="1"/>
  <c r="E10" i="1"/>
  <c r="K2" i="3"/>
  <c r="E15" i="1" l="1"/>
</calcChain>
</file>

<file path=xl/sharedStrings.xml><?xml version="1.0" encoding="utf-8"?>
<sst xmlns="http://schemas.openxmlformats.org/spreadsheetml/2006/main" count="849" uniqueCount="259">
  <si>
    <t>AI - LEARNING ARCHITECTURE</t>
  </si>
  <si>
    <t>Module</t>
  </si>
  <si>
    <t>Machine Learning</t>
  </si>
  <si>
    <t>Deep Learning</t>
  </si>
  <si>
    <t>NLP</t>
  </si>
  <si>
    <t>GenAI</t>
  </si>
  <si>
    <t>AI Agents</t>
  </si>
  <si>
    <t>Module 1</t>
  </si>
  <si>
    <t>• AI Frameworks: AI vs ML vs DL vs NLP vs GenAI boundaries, ML Lifecycle.
• Math - Linear Algebra: Scalars, Vectors, Matrices, Matrix Multiplication, Matrix Inverse.
• Math - Probability: Conditional Probability, Bayes Theorem, Joint Probability.
• Math - Statistics &amp; Sampling: Mean, Median, Mode, Variance, Covariance, Correlation, Central Limit Theorem, Confidence Intervals.
• Math - Distributions &amp; Tests: Normal, Uniform, Binomial, Poisson; Hypothesis Testing, Statistical Tests (t-test, ANOVA, Chi-square), p-values.</t>
  </si>
  <si>
    <t>• Neural Foundations: Biological vs Artificial Neuron, Perceptron, Multi-Layer Perceptron (MLP).
• Activation Functions: Sigmoid, Tanh, ReLU, Leaky ReLU, Softmax.
• Loss Functions: Mean Squared Error (MSE), Binary Cross-Entropy, Categorical Cross-Entropy.
• Backpropagation: Forward propagation, backward propagation, Chain Rule, Weight updates.
• Deep Learning Frameworks: PyTorch vs TensorFlow/Keras basics.</t>
  </si>
  <si>
    <t>• NLP Foundations &amp; Topic Modeling: Text Corpus, Documents, Tokens, Topic Modeling (LDA).
• Preprocessing: Tokenization, Stopword Removal, Stemming, Lemmatization, Text Cleaning.
• Text Analytics: Sentiment Analysis, Text Classification.
• Named Entity Recognition (NER): Sequence labeling, NER models.
• NLP Pipelines: Preprocessing, modeling, post-processing.</t>
  </si>
  <si>
    <t>• Generative Models: Autoregressive Models, foundation models.
• LLM Architectures &amp; Decoding: Tokenizer, Embedding layer, Attention, Decoder Stack, Inference, LLM Decoding Strategies (Greedy, Beam Search, Top-K, Top-p).
• Foundation Models: GPT-4, LLaMA, Mixtral, Claude.
• Prompt Engineering: Zero-Shot, One-Shot, Few-Shot prompting, System Prompts.
• Advanced Prompting: Structured Outputs, Chain of Thought, Prompt Chaining.</t>
  </si>
  <si>
    <t>• Agent Philosophy: Autonomous agents vs passive LLM generation, execution environments, tool dependency loops.
• ReAct Paradigm: Reasoning and Acting cycle, Observation traces, parsing thought-action-observation structures, loop constraints.
• Agent Planning: Plan-and-Solve architectures, Goal decomposition, Task planning, dynamic sub-goal generation (BabyAGI pattern).
• Function Calling Mechanics: JSON Schema declarations, API argument specifications, LLM response formatting parse errors.
• Structured Arguments Mapping: Parsing agent decisions, validation checks, error correction loops, fallback execution handlers.</t>
  </si>
  <si>
    <t>Module 2</t>
  </si>
  <si>
    <t>• Data Extraction: NumPy (Arrays, Broadcasting, Vectorization) and Pandas (Series, DataFrames).
• Data Manipulation: Pandas Merge, Join, GroupBy operations.
• Data Cleaning: Missing values (MCAR, MAR, MNAR, Imputation), Outlier detection (IQR, Z-Score).
• EDA: Univariate, Bivariate, Multivariate analysis; Visualization (Matplotlib, Seaborn).
• Feature Engineering: Scaling (Normalization, Standardization), Encoding (One-Hot, Label, Ordinal), Feature Selection.</t>
  </si>
  <si>
    <t>• Optimization: Gradient Descent variants (Batch, SGD, Mini-batch SGD).
• Advanced Optimizers: Adam, RMSprop, Learning Rate schedulers.
• Regularization: L1 &amp; L2 Regularization, Dropout, Batch Normalization.
• Weight Initialization: Xavier, He initialization methods.
• Deep Learning training: Custom training loops, Validation loops.</t>
  </si>
  <si>
    <t>• Text Vectorization: Bag of Words (BoW), N-Grams.
• TF-IDF: Term Frequency, Inverse Document Frequency calculations.
• Semantic Space: Vector representations, document similarity.
• Similarity Metrics: Cosine Similarity, Jaccard Similarity, Euclidean Distance.
• Language Modeling: N-Gram language models, perplexity evaluation.</t>
  </si>
  <si>
    <t>• Vector Embeddings: Embedding pipelines, text chunking (Fixed vs Semantic).
• Vector Databases: FAISS, ChromaDB, Pinecone, Weaviate.
• RAG Foundations: Text Chunking, Chunk Overlap, Retrieval, Context Injection, Grounded Generation.
• RAG Evaluation: BLEU, ROUGE, Perplexity, RAG Evaluation metrics (Ragas, TruLens).
• Context Engineering: Prompt context window limits, context retrieval.</t>
  </si>
  <si>
    <t>• Short-Term Memory: In-memory session buffers, conversational window limits, sliding window context trimming.
• Long-Term Memory: Vector-based semantic recall, user preference profiles storage, semantic retrieval optimization.
• LangGraph State Schemas: Defining graph state keys, thread-safe updates, state channel updates, merge policies.
• Checkpoints &amp; Persistence: Saving conversation checkpoints, thread configurations, session restoring in LangGraph.
• Time Travel Debugging: Accessing historical graph states, state fork execution, interactive session rollbacks.</t>
  </si>
  <si>
    <t>Module 3</t>
  </si>
  <si>
    <t>• Supervised Learning: Linear Regression, Polynomial Regression, Cost function, Gradient Descent.
• Classification: Logistic Regression, KNN, Naive Bayes.
• Support Vector Machines (SVM): Hyperplanes, margins, kernel trick.
• Model Evaluation: Confusion Matrix, Accuracy, Precision, Recall, F1-Score.
• Classification Challenges: Class Imbalance handling (SMOTE), ROC-AUC metric.</t>
  </si>
  <si>
    <t>• Computer Vision: Image Representation (Pixels, Channels RGB/Grayscale).
• CNN Foundations: Convolution operation, Kernels, Stride, Padding.
• CNN Layers: Pooling (Max, Average), Feature maps, flattening.
• CNN Architectures: LeNet, AlexNet, VGG, ResNet (Skip connections).
• Computer Vision Tasks: Transfer Learning, Fine-tuning, Object Detection.</t>
  </si>
  <si>
    <t>• Static Embeddings: Word2Vec (Continuous Bag of Words vs Skip-Gram).
• Advanced Static Embeddings: FastText, GloVe, Embedding Spaces.
• NLP Sequence Models: Recurrent models (RNN, LSTM, GRU) for text representation.
• Seq2Seq NLP: Sequence-to-Sequence models, Machine Translation.
• Attention in NLP: Scaled Dot-Product Attention in sequence models.</t>
  </si>
  <si>
    <t>• Advanced RAG: Hybrid Search (Sparse + Dense), Reranking models.
• LangChain Core: Prompt Templates, Chains (LLMChain, SequentialChain).
• LangChain Advanced: Router Chains, Memory Systems (Buffer, Summary).
• LangChain Integrations: Retrievers, Custom Tools definitions.
• Orchestration Frameworks: LangChain Agents, ReAct loop.</t>
  </si>
  <si>
    <t>• Choreography vs Orchestration: Single agent tools access vs multi-agent coordination models, task delegating protocols.
• Hierarchical Supervisor: Supervisor node routing, sub-agent task allocations, supervisor evaluation loops.
• Agent-to-Agent (A2A) Protocols: Custom communication message formats, structured JSON messaging protocols, context transferring.
• Model Context Protocol (MCP): Client-Server architecture, MCP transports, tool hosting, resource access schemas.
• Collaborative Conversational Patterns: Dynamic round-robin chat, group chat managers, state coordination across agents.</t>
  </si>
  <si>
    <t>Module 4</t>
  </si>
  <si>
    <t>• Model Selection: Overfitting vs Underfitting, Bias-Variance Tradeoff.
• Validation: Train-Test Split, Cross-Validation (K-Fold, Stratified), Data Leakage.
• Decision Trees: Splitting criteria (Shannon Entropy, Gini Impurity, Information Gain).
• Ensemble Models: Bagging (Random Forest), Boosting (Gradient Boosting, XGBoost).
• Hyperparameter Tuning: Grid Search, Random Search.</t>
  </si>
  <si>
    <t>• Sequential Data: Time Series, language sequences, temporal dependencies.
• Recurrent Neural Networks (RNN): Hidden state updates, Vanishing &amp; Exploding Gradients.
• LSTMs: Forget, Input, Output gates architecture.
• GRUs: Reset, Update gates architecture.
• Sequence-to-Sequence: Encoder-Decoder framework, Attention mechanism introduction.</t>
  </si>
  <si>
    <t>• Self-Attention: Query, Key, Value vectors; self-attention matrix calculation.
• Multi-Head Attention: Parallel attention heads, projections.
• Transformer Encoder: Layer normalization, feed-forward network, positional encoding.
• Transformer Decoder: Masked self-attention, cross-attention.
• Transformer Pre-training: Masked Language Modeling (MLM), Next Sentence Prediction (NSP).</t>
  </si>
  <si>
    <t>• LangGraph: Nodes, Edges, State management, workflows design.
• Agent Architectures: Planning (Plan-and-Solve), Reflection, Memory systems.
• Tool Calling: Function Calling, structured arguments mapping.
• Agent Protocols: Model Context Protocol (MCP), Agent-to-Agent (A2A).
• Orchestration Models: Single Agent vs Multi-Agent coordination.</t>
  </si>
  <si>
    <t>• LangChain Agent Executors: Deprecated AgentExecutor transition, custom execution loops, callback handlers.
• LangGraph Workflows: Building stateful graphs, nodes execution, conditional edges routing, asynchronous execution.
• CrewAI Crew Assembly: Agent roles definitions, task dependencies, process flows (sequential vs hierarchical).
• AutoGen Conversational Pipelines: Conversational agent agents, human-in-the-loop interactions, code execution environments.
• Agent Tool Integration: API wrapping, security sandboxing, credentials isolation, rate-limiting handlers.</t>
  </si>
  <si>
    <t>Module 5</t>
  </si>
  <si>
    <t>• Clustering: K-Means clustering, Hierarchical Clustering (Dendrograms), DBSCAN; Association Rule Learning (Market Basket Analysis).
• Dimensionality Reduction: PCA (Principal Component Analysis), t-SNE, Feature Selection methods.
• Anomaly Detection &amp; Time Series: Anomaly detection techniques, Time Series Forecasting fundamentals.
• Model Deployment &amp; Explainable AI: Explainable AI (SHAP/LIME), model serialization, API serving.
• LLMOps/MLOps: Model Deployment, Data Drift, Model Drift monitoring.</t>
  </si>
  <si>
    <t>• Representation Learning &amp; Self-Supervised: Latent Space, Encoder-Decoder structures, Self-Supervised Learning.
• Autoencoders: Reconstruction loss, undercomplete autoencoders.
• Variational Autoencoders (VAEs): Generative latent space, KL Divergence.
• Generative Adversarial Networks (GANs): Generator, Discriminator, Minimax game.
• DLOps: GPU training, checkpointing, model serving, inference.</t>
  </si>
  <si>
    <t>• Pretrained Models: BERT (Encoder), GPT (Decoder), T5 (Seq2Seq).
• Sentence Embeddings: Sentence Transformers, embedding extraction.
• Information Retrieval: Sparse (BM25, TF-IDF) vs Dense (vector) retrieval.
• Semantic Search: Vector indexing, Vector Databases integration, Reranking.
• NLP Applications: Text Summarization, Q&amp;A systems, Chatbots.</t>
  </si>
  <si>
    <t>• Fine-Tuning &amp; Alignment: PEFT (LoRA, QLoRA), RLHF / Alignment (PPO, DPO).
• Quantization: Model compression, Quantization techniques (GPTQ, AWQ, GGUF).
• LLMOps: Model serving, endpoints, latency optimization, Guardrails, Bias mitigation.
• Local Inference: Ollama, local open-source LLM execution.
• Multimodal &amp; Workflows: Multimodal Learning (CLIP, Flamingo), Autonomous Workflows.</t>
  </si>
  <si>
    <t>• LLM-as-a-Judge Trajectory Evaluation: Reviewing agent steps, action scoring, reasoning trace validation.
• LangSmith Tracing: Visualizing execution chains, step latency debugging, run monitoring, cost estimations.
• Agent Safety Guardrails: LlamaGuard integration, prompt injections scanning, safety filters before tool calls.
• Infinite Loop Mitigations: Max iterations limits, cost budgets tracking, timeout closures, cycle detection.
• Production Serving: FastAPI microservices hosting, streaming events formats (Server-Sent Events), concurrency scaling.</t>
  </si>
  <si>
    <t>Interview Preparation &amp; Revision</t>
  </si>
  <si>
    <t>• ML Lifecycle &amp; Evaluation: Confusion matrix derivations, accuracy vs precision vs recall vs F1-score optimization targets in interviews.
• Math for Machine Learning: Matrix calculus gradients, Bayes theorem applications, and probability distribution parameters.
• Linear Models: Gradient Descent optimization, cost functions, regularization penalties (L1 Lasso vs L2 Ridge) bias-variance tradeoff.
• Decision Trees &amp; Ensembles: Gini impurity vs Entropy split criteria, bagging vs boosting variance-bias corrections.
• Class Imbalance SMOTE: SMOTE nearest neighbor creations, data leakage prevention during cross-validation, cost-sensitive metrics.
• Clustering Mechanics: K-Means centroids convergence, Silhouette scores, DBSCAN density-based noise filtering criteria.
• Feature Engineering: Normalization vs standardization distributions, one-hot encoding vs target encoding, feature selection metrics.
• Time Series &amp; Anomaly: Stationarity checks (ADF tests), ARIMA models, Isolation Forests, Autoencoder thresholds for anomaly.
• Explainable AI: SHAP Shapley game theory contributions vs LIME local perturbation model boundaries.
• MLOps Serving: Model serialization formats (ONNX, Pickle), data drift vs model drift monitoring, APIs containerizations.</t>
  </si>
  <si>
    <t>• Neural Network Foundations: Perceptron convergence, forward vs backward propagation math chain rule derivations.
• Activation Functions: Sigmoid saturation vanishing gradients vs ReLU dead neurons, Leaky ReLU offsets, Softmax probabilities.
• Deep Optimizers: SGD momentum updates, RMSProp running average gradients, Adam learning rates adaptations parameters.
• Regularization &amp; Weights: Dropout drop rates, Batch Normalization scales, Xavier vs He weight initializations.
• CNN Architectures: Convolution filters padding/strides, pooling reductions, skip connections in ResNet solving gradient degradation.
• Recurrent Networks: RNN hidden states vanishing gradients, LSTM forget/input/output gates, GRU update/reset gates configurations.
• Autoencoders: Reconstruction loss thresholds, latent space bottlenecks dimension reductions, generative VAE KL-divergence.
• GAN Minimax Game: Generator weight updates vs Discriminator binary classifications loss optimization targets.
• GPU Training Scaling: Mixed precision training, distributed data parallel implementations, memory bottlenecks diagnostics.
• Model Servings: Model weights quantizations, local model inferences parameters, latency checks, pipeline parallelisms.</t>
  </si>
  <si>
    <t>• Text Preprocessings: Tokenization regex, lemmatization POS tagging, custom stopwords exclusions, noise removals.
• Vector Space Models: TF-IDF calculation equations, document similarity Cosine vs Euclidean distances metrics.
• Static Word Embeddings: Word2Vec CBOW vs Skip-gram contexts, FastText subwords arrays, GloVe global co-occurrences.
• RNN Sequence Structures: Sequence-to-sequence encoder-decoder pipelines, search decoders, alignment scores attention mechanisms.
• Self-Attention Mechanics: Query, Key, Value vectors dot-product transformations, scaled dot-product attention equations.
• Multi-Head Attention: Parallel projection layers, concatenated heads output dimension mappings.
• Transformer Architecture: Layer normalization offsets, positional encodings formulas, masked attention decoders.
• Language Models Pretraining: BERT MLM vs NSP objectives, GPT causal decoders, T5 text-to-text transfers.
• Vector Indexings: Dense vector database indexing algorithms (HNSW, IVF-PQ), cosine search metrics, rerankers models.
• NLP Applications: Topic modeling LDA, NER evaluations, text summarizations metrics (BLEU, ROUGE).</t>
  </si>
  <si>
    <t>• LLM Decoding Parameters: Greedy search repetitions loops vs Beam Search widths, Top-K/Top-p temperature samplings.
• Prompting Strategies: Zero-shot validations, few-shot structures, Chain of Thought logical splits, ReAct agent cycles.
• RAG Retrieval Pipelines: Semantic search chunk splits overlap, dense/sparse hybrid search vectors, reranking configurations.
• RAG Evaluation Metrics: Faithfulness validations, answer relevance metrics, context recall checks using Ragas frameworks.
• LLM Orchestration: LangChain prompt templates, sequential chains, LangGraph state node workflows, agent memory.
• Fine-Tuning PEFT: LoRA weight adapters matrices ranks, QLoRA double quantization compression calibrations.
• Alignment Reward Loops: RLHF PPO reward model feedbacks vs DPO direct preference optimization calculations.
• Quantization Formats: Model weight reductions (GPTQ, AWQ, GGUF), hardware configurations constraints validations.
• LLMOps Guardrails: Prompt injections exclusions, guardrails validation APIs, endpoint latency SLA optimizations.
• Multimodal Integrations: CLIP image-text alignments, multimodal model embeddings mappings, autonomous agent protocols.</t>
  </si>
  <si>
    <t>• Agent Reasoning Loops: Comparing ReAct, Plan-and-Solve, and Reflection patterns; debugging infinite loops and token budget exhaustion.
• Function Calling &amp; Schemas: Explaining JSON Schema generation for tool calling, handling malformed model arguments, and structured parsing validation.
• LangGraph State Management: Designing thread-safe state schemas, merge channels, custom reducer functions, and conflict resolution.
• Checkpoints &amp; Time Travel: Implementing state persistence, rolling back to previous state checkpoints, and branching execution paths.
• Multi-Agent Communication: Designing supervisor routing patterns vs choreography (round-robin), and passing context between sub-agents.
• Model Context Protocol (MCP): Describing MCP client-server architecture, custom tools hosting over SSE/stdio transports, and resource registry.
• Agent Memory Strategies: Implementing short-term buffers vs long-term semantic databases, and context window optimization via summary memories.
• Execution Security &amp; Sandboxing: Designing secure tool runtime environments, preventing shell execution escapes, and credential isolation.
• Trajectory Evaluation (LLMOps): Setting up automated grading for multi-step agent decisions, tracking run histories, and cost/latency profiling.
• Guardrails &amp; Injection Defense: Mitigating prompt injections, protecting backend APIs from malicious tool inputs, and boundary validations.</t>
  </si>
  <si>
    <t>PERSONAL PREPARATION DASHBOARD PANEL</t>
  </si>
  <si>
    <t>Overall Progress</t>
  </si>
  <si>
    <t>Completed Modules</t>
  </si>
  <si>
    <t>In Progress Modules</t>
  </si>
  <si>
    <t>Not Started Modules</t>
  </si>
  <si>
    <t>Category Performance Overview</t>
  </si>
  <si>
    <t>Subject Category</t>
  </si>
  <si>
    <t>Total Modules</t>
  </si>
  <si>
    <t>Completion Rate</t>
  </si>
  <si>
    <t>Status</t>
  </si>
  <si>
    <t>Count</t>
  </si>
  <si>
    <t>Software Engineering</t>
  </si>
  <si>
    <t>Completed</t>
  </si>
  <si>
    <t>AI</t>
  </si>
  <si>
    <t>In Progress</t>
  </si>
  <si>
    <t>Core CS</t>
  </si>
  <si>
    <t>Not Started</t>
  </si>
  <si>
    <t>Aptitude</t>
  </si>
  <si>
    <t>Web Development</t>
  </si>
  <si>
    <t>Overall Summary</t>
  </si>
  <si>
    <t>Insights &amp; Statistics</t>
  </si>
  <si>
    <t>Total Subjects</t>
  </si>
  <si>
    <t>Completed (100% Progress)  🏆</t>
  </si>
  <si>
    <t>In Progress (&gt;=80% Near Completion)  ⚡</t>
  </si>
  <si>
    <t>Not Started yet  ⏳</t>
  </si>
  <si>
    <t>Motivational Insight</t>
  </si>
  <si>
    <t>"The expert in anything was once a beginner." - Helen Hayes
Preparation Tracking Active • Current Date: 2026-06-22</t>
  </si>
  <si>
    <t>Recommended Weekly Preparation Flow</t>
  </si>
  <si>
    <t>Week</t>
  </si>
  <si>
    <t>Subject Focus</t>
  </si>
  <si>
    <t>Modules</t>
  </si>
  <si>
    <t>Key Focus Area</t>
  </si>
  <si>
    <t>Week 1-4</t>
  </si>
  <si>
    <t>Java &amp; DSA</t>
  </si>
  <si>
    <t>Modules 1-5</t>
  </si>
  <si>
    <t>Syntax, OOP, Collections, Lists/Trees</t>
  </si>
  <si>
    <t>Week 5-8</t>
  </si>
  <si>
    <t>Core CS &amp; ML</t>
  </si>
  <si>
    <t>DBMS, SQL Queries, OS Threads, ML Regression</t>
  </si>
  <si>
    <t>Week 9-12</t>
  </si>
  <si>
    <t>Systems &amp; NLP</t>
  </si>
  <si>
    <t>Spring Boot, System Design, NLP Models</t>
  </si>
  <si>
    <t>Week 13-16</t>
  </si>
  <si>
    <t>Advanced AI</t>
  </si>
  <si>
    <t>GenAI, RAG Pipelines, LoRA, PEFT Tuning</t>
  </si>
  <si>
    <t>Daily Preparation &amp; Study Habits Checklist</t>
  </si>
  <si>
    <t>Activity</t>
  </si>
  <si>
    <t>Daily Target</t>
  </si>
  <si>
    <t>Mode</t>
  </si>
  <si>
    <t>Frequency</t>
  </si>
  <si>
    <t>Coding Practice</t>
  </si>
  <si>
    <t>2 LeetCode Problems</t>
  </si>
  <si>
    <t>Practical</t>
  </si>
  <si>
    <t>Daily</t>
  </si>
  <si>
    <t>Theory Revision</t>
  </si>
  <si>
    <t>30 Minutes Review</t>
  </si>
  <si>
    <t>Reading</t>
  </si>
  <si>
    <t>Alternate Days</t>
  </si>
  <si>
    <t>Interview Prep</t>
  </si>
  <si>
    <t>1 Mock Topic Viva</t>
  </si>
  <si>
    <t>Verbal</t>
  </si>
  <si>
    <t>Note Updates</t>
  </si>
  <si>
    <t>Document Key Concepts</t>
  </si>
  <si>
    <t>Active Recall</t>
  </si>
  <si>
    <t>Weekly</t>
  </si>
  <si>
    <t>Subject Name</t>
  </si>
  <si>
    <t>Java</t>
  </si>
  <si>
    <t>DBMS</t>
  </si>
  <si>
    <t>Quantitative Aptitude</t>
  </si>
  <si>
    <t>HTML CSS Git</t>
  </si>
  <si>
    <t>OOP</t>
  </si>
  <si>
    <t>SQL</t>
  </si>
  <si>
    <t>Verbal Aptitude</t>
  </si>
  <si>
    <t>JavaScript</t>
  </si>
  <si>
    <t>DSA</t>
  </si>
  <si>
    <t>OS</t>
  </si>
  <si>
    <t>CSS Frameworks</t>
  </si>
  <si>
    <t>SpringBoot</t>
  </si>
  <si>
    <t>CN</t>
  </si>
  <si>
    <t>ReactJS</t>
  </si>
  <si>
    <t>System Design</t>
  </si>
  <si>
    <t>NodeJS ExpressJS</t>
  </si>
  <si>
    <t>TypeScript</t>
  </si>
  <si>
    <t>NextJS</t>
  </si>
  <si>
    <t>SOFTWARE ENGINEERING PROGRESS TRACKER</t>
  </si>
  <si>
    <t>Subject</t>
  </si>
  <si>
    <t>Category</t>
  </si>
  <si>
    <t>Completion %</t>
  </si>
  <si>
    <t>Progress Bar</t>
  </si>
  <si>
    <t>Confidence</t>
  </si>
  <si>
    <t>Side Note</t>
  </si>
  <si>
    <t>Low</t>
  </si>
  <si>
    <t>AI PROGRESS TRACKER</t>
  </si>
  <si>
    <t>CORE CS PROGRESS TRACKER</t>
  </si>
  <si>
    <t>APTITUDE PROGRESS TRACKER</t>
  </si>
  <si>
    <t>WEB DEVELOPMENT PROGRESS TRACKER</t>
  </si>
  <si>
    <t>SOFTWARE ENG - LEARNING ARCHITECTURE</t>
  </si>
  <si>
    <t>• History of Java &amp; Platform Independence: javac Compiler, JVM execution engine, JIT compilation, Bytecode verification.
• JVM Memory Architecture: Heap, Stack, Method Area, Metaspace layout, PC Registers, Native Method Stack.
• String Constant Pool (SCP) memory allocation, String Immutability reasoning, Garbage Collection basics (reachability).
• Variables &amp; Scope: Primitive vs Reference types, implicit/explicit narrowing casting, precision loss rules.
• Operators &amp; Control Flow: Arithmetic/Logical/Bitwise logic, loops (for, while, do-while), break/continue.</t>
  </si>
  <si>
    <t>• Programming Paradigms: Procedural, Object-Oriented, Functional, Event-driven modeling comparison.
• Object-Oriented Thinking: Objects, attributes, behaviors, identity, real-world entity abstraction.
• Class Design: Fields, methods, constructors, encapsulation boundaries, getters/setters.
• Abstraction: Implementation hiding, Interfaces, Abstract Classes, Abstract Class vs Interface trade-offs.
• Object Relationships: Association, Aggregation (weak ownership), Composition (strong lifecycle ownership), Dependency.</t>
  </si>
  <si>
    <t>• Complexity Analysis: Asymptotic notations (Big O, Omega, Theta), growth rates, worst/average/best case.
• Recursion: Call stack, base/recursive cases, recursion tree analysis, space limits.
• Bit Manipulation: Bitwise operators, set/unset/toggle bits, bit masking, power of two check.
• Linear Arrays &amp; Strings: Traversals, Two Pointers, Sliding Window (fixed/variable).
• Hashing: Hash functions, Hash table, HashMap/HashSet, collision handling (Chaining vs Open Addressing).</t>
  </si>
  <si>
    <t>• Enterprise Architecture: Monolith vs Microservices systems, Maven/Gradle lifecycles, pom.xml.
• Spring Core &amp; AOP: IoC, DI, Bean definitions, Spring Boot Aspect-Oriented Programming (AOP): Aspects, Advice, Pointcuts, Join Points, Cross-Cutting Concerns.
• Bean Lifecycle: Instantiation, initialization callbacks, destruction, ApplicationContext container.
• Dependency Injection Types: Constructor (preferred), Setter, Field injection trade-offs.
• Spring Boot: Auto-Configuration (@EnableAutoConfiguration), Starters, Embedded servers (Tomcat).</t>
  </si>
  <si>
    <t>• System Design Fundamentals: Functional vs Non-Functional requirements (Scalability, Availability, Reliability).
• Capacity Estimation: DAU, MAU, Throughput, Storage, Bandwidth, Latency math calculations.
• Microservices Architecture: Monolith vs Microservices, Service Discovery (Registry, Client-Side, Server-Side), Microservice Patterns (Database per Service, API Composition, Strangler Pattern, BFF).
• Network Routing: DNS resolution flow, CDNs edge caching, Load Balancer algorithms (L4 vs L7).
• API Gateway &amp; Proxies: Reverse Proxy vs Forward Proxy, API Gateway routing, rate limiting.</t>
  </si>
  <si>
    <t>• Constructors: Default vs Parameterized, Constructor Chaining, static &amp; final variables/methods/blocks order.
• Access Modifiers &amp; Encapsulation: Private/Default/Protected/Public scope, getters/setters boundaries, immutable classes.
• Inheritance &amp; Polymorphism: Single/Multilevel/Hierarchical, Overloading vs Overriding resolution precedence, dynamic dispatch.
• Java Generics: Type safety, Generic classes/methods, bounded wildcards (? extends T vs ? super T PECS rule), Type Erasure.
• Collections Framework: ArrayList (resizing), LinkedList (doubly linked), HashSet, HashMap (buckets, collision CAS/RB-Tree), TreeSet, TreeMap, Comparable vs Comparator.</t>
  </si>
  <si>
    <t>• Software Design: Coupling &amp; Cohesion, high cohesion and loose coupling principles.
• Dependency Management: Dependency Injection (Constructor, Setter, Field), Inversion of Control (IoC).
• SOLID - Single Responsibility Principle (SRP) &amp; Open-Closed Principle (OCP).
• SOLID - Liskov Substitution (LSP), Interface Segregation (ISP), Dependency Inversion (DIP).
• Design Idioms: DRY (Don't Repeat Yourself), KISS (Keep It Simple), YAGNI (You Aren't Gonna Need It), Separation of Concerns.</t>
  </si>
  <si>
    <t>• Searching: Linear Search, Binary Search, Binary Search on Answer.
• Sorting Basics: Bubble Sort, Selection Sort, Insertion Sort, stability in sorting.
• Advanced Sorting: Merge Sort (divide-and-conquer, stable), Quick Sort (pivot partition, unstable).
• Linked Lists: Singly, Doubly, Circular Linked Lists; Operations: insertion, deletion, traversal.
• Linked Lists Patterns: Fast-Slow pointer (cycle detection, mid), Linked List Reversal.</t>
  </si>
  <si>
    <t>• REST Architecture: Client-Server, statelessness, uniform interface principles.
• HTTP Methods: GET, POST, PUT, PATCH, DELETE semantic differences, HTTP status codes.
• Controller Layer: @RestController, @RequestMapping, @PathVariable, @RequestParam.
• Request Handling: @RequestBody mapping, ResponseEntity return types, DTO patterns.
• Service Layer: Business logic encapsulation, service interfaces vs implementation decoupling.</t>
  </si>
  <si>
    <t>• Communication Models: Sync (REST, gRPC) vs Async (Message Queues, Pub-Sub), request-response, Webhooks.
• Caching Basics: Cache Hit vs Cache Miss, Cache Eviction (LRU, LFU), Cache Invalidation.
• Caching Patterns: Cache-Aside, Write-Through, Write-Back, Write-Around.
• Distributed Caching: Redis vs Memcached architecture comparison.
• Reliability Patterns: Retries, Timeouts, Circuit Breaker state machines, Bulkheads.</t>
  </si>
  <si>
    <t>• Exception Hierarchy: Throwable -&gt; Error vs Exception, checked vs unchecked exception propagation rules.
• Exceptions Handling: try-catch-finally control flow, throws keyword, custom exceptions serialization.
• Try-with-resources: AutoCloseable interface, resource leaks prevention, compiler-generated close calls.
• Java I/O Streams: Byte streams (InputStream/OutputStream) vs Character streams (Reader/Writer), Buffered Streams.
• Serialization: Serializable interface, transient fields, serialVersionUID checking, writeObject/readObject custom hooks.</t>
  </si>
  <si>
    <t>• Pattern Philosophy: Creational, Structural, Behavioral categorizations, patterns vs frameworks.
• Creational - Singleton Pattern: Lazy/Eager, thread-safe double-checked lock, serialization break.
• Creational - Factory Pattern: Decoupling object creation, Abstract Factory model.
• Creational - Builder Pattern: Immutability, step-by-step construction of complex objects.
• Structural - Adapter Pattern: Interface translation, wrapper implementation.</t>
  </si>
  <si>
    <t>• Stacks: LIFO, implementation (array, list), balanced parentheses check.
• Advanced Stacks: Monotonic Stack (Next Greater/Smaller element problems).
• Queues: FIFO, Circular Queue, Deque, Priority Queue introduction.
• Binary Trees &amp; Trie: Prefix Trees, Trie Insert/Search/Delete, Autocomplete; Traversals (Preorder, Inorder, Postorder).
• Binary Search Trees (BST): insertion, deletion, search, BST properties, Lowest Common Ancestor (LCA).</t>
  </si>
  <si>
    <t>• Data Access &amp; ORM: ORM concepts, JPA specification vs Hibernate implementation.
• Entity Mapping: @Entity, @Table, @Column, @Id, @GeneratedValue auto generation strategies.
• Relationships: @OneToOne, @OneToMany, @ManyToOne, @ManyToMany database mapping.
• Transaction Management: ACID, @Transactional annotation, Propagation, Rollback Rules.
• Advanced Database Integration: JpaRepository CRUD, JPQL, Native Queries, Pagination &amp; Sorting, Connection Pooling.</t>
  </si>
  <si>
    <t>• Database Design: SQL vs NoSQL, CAP Theorem, ACID vs BASE, Database Isolation Levels &amp; Concurrency Anomalies (Dirty, Non-Repeatable, Phantom Reads).
• Database Indexing &amp; Tuning: Clustered Index, Non-Clustered Index, Composite Index, Covering Index, B+ Trees; Query Optimization (Execution Plans, Query Cost, Index Selection, N+1 Query).
• Database Scaling: Vertical vs Horizontal scaling, Master-Slave replication, Sharding, Consistent Hashing.
• Distributed Systems: Leader-Follower, Consistency Models (Strong, Eventual, Quorum Reads/Writes), Distributed Transactions (Two-Phase Commit, Saga-based Transactions).
• CQRS &amp; Saga Pattern: Distributed Transactions, Choreography vs Orchestration, Compensation transactions.</t>
  </si>
  <si>
    <t>• Lambda Expressions: Syntax, closures, functional style code, effectively final variables capture rules.
• Functional Interfaces: @FunctionalInterface annotation validation, Predicate, Consumer, Supplier, Function, BiFunction.
• Method References: ClassName::methodName syntax, constructor references.
• Streams API Intermediate: pipeline processing, filter, map, flatMap, sorted, distinct, limit.
• Streams API Terminal: collect, reduce, forEach, count; Optional class; LocalDate/Time API.</t>
  </si>
  <si>
    <t>• Structural - Decorator Pattern: Dynamic behavior extension without inheritance subclass explosion.
• Structural - Proxy Pattern: Access control, lazy loading wrappers.
• Behavioral - Strategy Pattern: Dynamic algorithm switching, decoupling conditionals.
• Behavioral - Observer Pattern: Subject-Subscriber updates, event listeners modeling.
• Behavioral - Template Method Pattern: Algorithm skeletons, code reuse inheritance.</t>
  </si>
  <si>
    <t>• Heaps: Binary Heap (Min/Max Heap), Heapify, Heap construction, Top-K elements, Heap Sort.
• Graphs Representation: Adjacency Matrix, Adjacency List; Graph Traversals (BFS, DFS).
• Graphs Connectivity &amp; Cycles: Connected Components, Cycle Detection in directed (DFS stack) &amp; undirected (DSU).
• Topological Sort &amp; Advanced Graphs: Strongly Connected Components (Kosaraju, Tarjan), Kahn's algorithm vs DFS.
• Shortest Path &amp; MST: Dijkstra's Algorithm (non-negative), Minimum Spanning Trees (Kruskal, Prim, Union-Find Applications).</t>
  </si>
  <si>
    <t>• Request Validation: Hibernate Validator constraints (@NotNull, @NotBlank, @Size, @Valid).
• Global Exception Handling: @RestControllerAdvice, @ExceptionHandler mapping, custom payloads.
• Spring Security: Authentication vs Authorization, Security Filter Chain routing.
• JWT Authentication: Authentication vs Authorization, Security Filter Chain, UserDetailsService, BCrypt, Token Generation &amp; Validation.
• Role-Based Access Control (RBAC): Password encoding (BCrypt), role permissions annotations.</t>
  </si>
  <si>
    <t>• Event-Driven Architecture (EDA): Events, Producers, Consumers, Event Streams, Message Queue (RabbitMQ).
• Distributed Log: Kafka: Topics, Partitions, Consumer Groups, Offsets, DLQ (Dead Letter Queue).
• Storage Systems: Blob &amp; Object Storage (S3), File Storage, Block Storage.
• Observability: Centralized Logging, Metrics collection, Distributed Tracing, Alerting.
• Rate Limiting Algorithms: Token Bucket, Leaky Bucket, Sliding Window Log.</t>
  </si>
  <si>
    <t>• Concurrency: Process vs Thread, Thread memory layout, Thread lifecycle states, Thread creation (Runnable, Callable, Future).
• Java Memory Model (JMM): Happens-Before relationship, Memory Visibility, Instruction Reordering, Atomicity, CAS, Atomic Classes.
• Synchronization &amp; Locks: synchronized monitors, volatile visibility, ReentrantLock, ReadWriteLock, deadlocks prevention.
• JVM Class Loading &amp; Reflection: Class Loading Lifecycle (Load, Link, Init), ClassLoader Hierarchy, Reflection API, Runtime Metadata, Dynamic Invocation, Custom Annotations.
• Garbage Collection (Advanced): Minor GC, Major GC, Full GC, Generational GC, G1GC, ZGC algorithms; ConcurrentHashMap, BlockingQueue (Producer-Consumer).</t>
  </si>
  <si>
    <t>• Code Smells &amp; Refactoring: God Class, Long Method, Feature Envy, Extract Method, Extract Class.
• UML Modeling: Class Diagrams, Sequence Diagrams, Use Case Diagrams interaction modeling.
• Domain-Driven Design (DDD): Entity, Value Object, Aggregate, Repository, Bounded Context.
• LLD Case Studies: Library Management System, Parking Lot slot allocation concurrency.
• LLD Case Studies: Food Ordering System &amp; Movie Booking seat locking transactions handling.</t>
  </si>
  <si>
    <t>• Disjoint Set Union (DSU): Path compression, Union by rank/size.
• Greedy Algorithms: Greedy choice property, Activity Selection, Interval Scheduling.
• Backtracking: State space search, subsets, permutations, combinations, N-Queens problem.
• Dynamic Programming (DP) Basics: Memoization (top-down) vs Tabulation (bottom-up), State &amp; Transition.
• Classic DP: 0/1 Knapsack, Subset Sum, Coin Change, LCS, LIS, space optimization.</t>
  </si>
  <si>
    <t>• Unit Testing: JUnit test lifecycle, Mockito mocking framework (@Mock, @Spy, @InjectMocks).
• Integration Testing: @SpringBootTest, MockMvc, Test Database setup, Database rollback.
• Configuration &amp; Logging: application.properties/yml, Profiles, Logging (SLF4J, Logback).
• Actuator, Caching &amp; Reactive: Health checks, metrics, Redis caching; Reactive Programming (Reactive Streams, Mono, Flux, WebFlux).
• Deployment &amp; DevOps: JAR/WAR packaging, Docker, CI/CD Pipelines (Build, Test, Deploy, Rollback), Kubernetes Basics (Pods, Services, Deployments, Autoscaling).</t>
  </si>
  <si>
    <t>• Case Studies: URL Shortener design, Database schema, hashing collision handling.
• Case Studies: Chat System (WebSockets vs Long Polling), status synchronization.
• Case Studies: Video Streaming (CDN caching, chunking, adaptive bitrate), Notification service.
• AI System Design: LLM Application Architecture, Vector Embeddings pipelines.
• AI Systems Scaling: Vector Databases (FAISS, Pinecone), RAG pipeline retrieval/rerank, AI Agents.</t>
  </si>
  <si>
    <t>• Core JVM Memory Layout: Explaining Heap vs Stack vs Metaspace memory flags in interviews; how to diagnose OutOfMemoryError (OOM) vs StackOverflowError.
• String Constant Pool (SCP): SCP allocation internals, how intern() works, difference between String, StringBuilder, and StringBuffer in thread-safe contexts.
• Collection Internals: Deep dive into HashMap collision resolution (Linked List to Red-Black Tree threshold), ArrayList resizing copy overhead, and ConcurrentHashMap lock striping.
• Generics PECS Rule: Practical application of Producer Extends Consumer Super wildcard boundaries with code examples.
• Multithreading &amp; JMM: Explaining happens-before relationships, volatile memory barriers, CAS operation execution, and atomic classes.
• Thread Synchronizations: How synchronized blocks differ from ReentrantLocks, fair vs unfair locks, condition variables, and deadlock avoidance (detection &amp; recovery).
• Java Garbage Collection: Explaining minor, major, and full GC events, GC algorithms (G1GC vs ZGC color pointers &amp; load barriers), tuning flags.
• JVM Class Loading Lifecycle: ClassLoader hierarchy delegation model, custom ClassLoader creation, static initialization order traps.
• Reflection API &amp; Annotations: Performance implications of reflection in frameworks, runtime annotation scanning, dynamic proxy generation.
• Stream API Performance: Parallel streams overhead, intermediate lazy evaluation vs terminal operations execution, Optional anti-patterns.</t>
  </si>
  <si>
    <t>• Encapsulation Boundaries: Explaining data hiding, accessor/mutator validations, and designing strictly immutable classes in interviews.
• Abstraction Interface Design: Abstract class vs interface compilation differences, default/static interface methods, and selection criteria.
• Polymorphism Precedence: Overriding vs overloading resolution rules, compiler vs runtime binding, dynamic method dispatch execution.
• OOP Relationships: Association vs Aggregation vs Composition lifecycle ownership bounds with real-world examples.
• High Cohesion &amp; Loose Coupling: Explaining software coupling metrics, refactoring tightly coupled modules, class responsibilities distribution.
• SOLID Principles: Violations and refactoring examples for SRP, OCP, LSP, ISP, and DIP in high-level design reviews.
• Singleton Pattern: Thread-safe implementations, lazy double-checked locking, serialization breakages, enum singleton benefits.
• Factory vs Builder Patterns: Selecting between structural creation abstractions, builder immutability benefits, abstract factory extensions.
• Strategy &amp; Observer Patterns: Behavioral design models, decoupling algorithms dynamic switching, subject-subscriber publish flows.
• LLD Case Studies: Concurrency controls in parking lots (seat allocations), food order systems state machines, and seat locking mechanisms.</t>
  </si>
  <si>
    <t>• Asymptotic Complexity: Explaining Big O/Omega/Theta bounds, space complexity stack overhead, and analyzing recursive recurrence relations.
• Two Pointers &amp; Sliding Window: Selection metrics for sliding windows (fixed vs dynamic sizes), two pointers collision vs fast-slow flows.
• Hashing Collision: Chaining vs open addressing comparisons, hash functions distributions, load factor threshold resizing.
• Sorting Algorithms Stability: Stability benefits, Merge Sort vs Quick Sort space-time bounds, pivot selection optimization.
• Linked Lists Patterns: Fast-slow pointer cycle detection math, reversal algorithms, in-place node deletions.
• Stacks &amp; Monotonic Patterns: Monotonic stack index caching for next greater/smaller element queries, parsing nested syntax formats.
• Trees &amp; Traversals: DFS (pre/in/post-order) vs BFS recursive vs iterative executions, Tree height calculations, BST property validations.
• Heap &amp; Top-K Problems: Min/Max heap construction complexities, priority queues resizing, heap sort runtime execution bounds.
• Graph Cycles &amp; Traversals: Cycle detection in directed graphs (back edges DFS stack) vs undirected graphs (Disjoint Set Union DSU).
• Dynamic Programming: Overlapping subproblems detection, state definition, tabulation space optimizations, knapsack variations.</t>
  </si>
  <si>
    <t>• Spring IoC Container: ApplicationContext bean initialization phases, scopes (singleton, prototype, request), circular dependencies resolution.
• Spring Boot Auto-Configuration: How @SpringBootApplication scans packages, conditional bean loading mechanics, and custom starters structure.
• Dependency Injection: Constructor injection benefits, field injection risks, qualifiers, and resolving duplicate bean definitions.
• Spring AOP Proxying: CGLIB vs JDK dynamic proxies, self-invocation bypass trap, and Aspect lifecycle advice execution order.
• JPA &amp; Hibernate Caching: First level vs second level cache, N+1 query problem diagnosis, and lazy loading exceptions.
• Spring Transaction Management: Propagation behaviors (REQUIRED vs REQUIRES_NEW), database isolation levels, rollback triggers on checked exceptions.
• Global Exception Handling: Designing robust REST responses using @RestControllerAdvice, @ExceptionHandler, and custom error subclasses.
• Spring Security Filters: Security Filter Chain execution order, context propagation, JWT stateless validation integration.
• Spring Testing Framework: Integration tests speedups, mocking database operations, transaction rollbacks in tests.
• Reactive Programming: Spring WebFlux execution model, Mono/Flux streams, non-blocking I/O comparison with traditional MVC.</t>
  </si>
  <si>
    <t>• Capacity Estimation: Storage, bandwidth, DAU, and throughput calculations for FAANG system design interviews.
• Load Balancers &amp; Routing: Layer 4 vs Layer 7 load balancing algorithms, DNS routing, and CDN caching architectures.
• API Gateway &amp; Rate Limiting: Rate limiting algorithms (Leaky bucket vs Token bucket vs Sliding window logs), security filters.
• Caching Topologies: Cache-Aside vs Write-Through vs Write-Back configurations, cache eviction algorithms (LRU, LFU), cache stampede.
• SQL vs NoSQL Selection: CAP theorem constraints, ACID vs BASE model comparisons, database replication topologies.
• Consistent Hashing: Hash ring layouts, virtual nodes balance, partitioning, and rehashing avoidance under node counts changes.
• Distributed Transactions: Two-Phase Commit (2PC) coordinator locks vs Saga pattern orchestrator/choreography compensation actions.
• Message Queue Concurrency: Kafka partition partitions balance, consumer groups offsets tracking, at-least-once vs exactly-once delivery.
• High Scale Case Studies: Designing URL shorteners, scalable chat systems, video streaming chunking pipelines.
• AI System Architecture: Scalable vector databases, FAISS indices, real-time RAG pipelines scaling, LLM serving caching.</t>
  </si>
  <si>
    <t>CS CORE - LEARNING ARCHITECTURE</t>
  </si>
  <si>
    <t>• File System vs DBMS: Data Redundancy, Inconsistency, Isolation issues.
• DBMS Functions: Characteristics, advantages, Functions.
• Database Architecture: 1-Tier, 2-Tier, Three Schema Architecture, Data Independence.
• Relational Model: Relation, schema, tuples, domains.
• Database Keys: Super, Candidate, Primary, Foreign, Alternate.</t>
  </si>
  <si>
    <t>• SQL Overview: Relational Databases vs NoSQL, Popular databases (MySQL, PostgreSQL).
• SQL Categories: DDL (CREATE, ALTER, DROP, TRUNCATE), DML (INSERT, UPDATE, DELETE).
• SQL Categories &amp; Upserts: DQL (SELECT), TCL (COMMIT, ROLLBACK), Upserts (MERGE, ON CONFLICT, ON DUPLICATE KEY).
• Table Constraints: NOT NULL, UNIQUE, PRIMARY KEY, FOREIGN KEY, CHECK, DEFAULT.
• Basic Queries: SELECT, ALIAS, DISTINCT, WHERE, Comparison/Logical operators, ORDER BY.</t>
  </si>
  <si>
    <t>• OS Goals &amp; Boot: OS Functions, Execution Modes, Boot Process (Bootloader -&gt; Kernel -&gt; User Space).
• OS Architecture: Monolithic, Microkernel, Hybrid.
• Execution Modes: User Mode vs Kernel Mode, System Calls.
• Process Management: Process vs Program, States &amp; Transitions, PCB, Context Switching, CPU vs I/O Bound Processes.
• Inter-Process Communication (IPC): Shared Memory, Message Queues, Pipes, Sockets; User-level vs Kernel-level threads.</t>
  </si>
  <si>
    <t>• Network Models &amp; Ethernet: PAN, LAN, MAN, WAN; Topologies; Ethernet Fundamentals.
• Network Devices: Repeater, Hub, Bridge, Switch, Router, Gateway.
• Reference Models: OSI Reference Model layers (Physical to Application).
• TCP/IP Model: Network Access, Internet, Transport, Application layers.
• Protocol Layering: Encapsulation, Decapsulation, Protocol Data Units (PDUs).</t>
  </si>
  <si>
    <t>• ER Modeling: Entities (Strong, Weak), Attributes (Simple, Composite, Derived, Multivalued).
• ER Mapping: Cardinality, Participation, ER to Relational schema mapping.
• Relational Algebra: Selection, Projection, Union, Set Difference, Cartesian Product.
• Relational Joins: Theta, Equi, Natural, Outer Joins.
• Database Design: Functional Dependencies, Normal Forms (1NF, 2NF, 3NF, BCNF), Normalization vs Denormalization.</t>
  </si>
  <si>
    <t>• SQL Functions: Single Row Functions (String, Numeric, Date).
• Aggregate Functions: COUNT, SUM, AVG, MIN, MAX.
• Grouping: GROUP BY, HAVING, WHERE vs HAVING execution order.
• Joins: INNER JOIN, LEFT JOIN, RIGHT JOIN, FULL OUTER JOIN, SELF JOIN, CROSS JOIN.
• Join Mechanics: Nested loop join, Hash join, Merge join concepts.</t>
  </si>
  <si>
    <t>• CPU Scheduling: Goals (Throughput, Turnaround, Waiting, Response time).
• Scheduling Algorithms: FCFS, SJF, SRTF, Priority Scheduling, Round Robin.
• Advanced Scheduling: Multilevel Queue, Multilevel Feedback Queue Scheduling.
• Process Synchronization: Critical Section Problem, Race Conditions, Mutual Exclusion.
• Synchronization Locks: Mutex, Spinlocks vs Mutexes, Reader-Writer Locks, Condition Variables, Semaphores (Binary, Counting), Classical problems.</t>
  </si>
  <si>
    <t>• Physical Layer: Transmission Media, Guided vs Unguided, Bandwidth, Latency, Data Rate.
• Data Link Layer: Framing, MAC Address, Error Detection (CRC), Flow Control.
• Switching: Switching vs Routing, MAC Learning Tables, Switch Operations.
• ARP Protocol: Address Resolution Protocol, ARP broadcast/unicast flow.
• Network Tools: ICMP Protocol, Ping, Traceroute.</t>
  </si>
  <si>
    <t>• Transaction Management: Definition, Lifecycle, States (Active, Committed, Aborted), serial vs concurrent transaction schedules.
• ACID &amp; Concurrency: Atomicity, Consistency, Isolation, Durability, Conflict Serializability vs View Serializability.
• Concurrency Control: Shared &amp; Exclusive Locks, Two-Phase Locking (2PL), Strict 2PL, Timestamp-Based Concurrency Control.
• Concurrency Anomalies: Lost Update, Dirty Read, Non-Repeatable Read, Phantom Read.
• Deadlocks &amp; MVCC: Deadlock Handling (Prevention, Detection, Recovery), Multi-Version Concurrency Control (MVCC) basics.</t>
  </si>
  <si>
    <t>• Subqueries: Single-Row, Multi-Row (IN, ANY, ALL) subqueries.
• Advanced Subqueries: Correlated subqueries, Nested subqueries.
• Set Operators: UNION, UNION ALL, INTERSECT, EXCEPT.
• Database Views: Simple Views, Complex Views, Updatable Views.
• Materialized Views: Materialized views, refresh strategies.</t>
  </si>
  <si>
    <t>• Deadlocks: Necessary Conditions, Prevention, Avoidance (Banker's Algorithm), Detection &amp; Recovery.
• Memory Management: Logical vs Physical Addresses, Swapping, Contiguous Allocation.
• Memory Partitioning: Fixed Partitioning, Variable Partitioning, Fragmentation, NUMA Basics.
• Paging &amp; Segmentation: Frames, Pages, Page Table, Address Translation, Segmentation.
• Virtual Memory: Demand Paging, Page Fault, Thrashing, Page Replacement (FIFO, LRU, Optimal), MMU.</t>
  </si>
  <si>
    <t>• Network Layer: Logical Addressing (IPv4 vs IPv6), IP Address structure.
• IP Addressing: Public vs Private IP, Static vs Dynamic IP.
• Subnetting: Subnet masks, CIDR notation, Network &amp; Broadcast addresses.
• NAT Protocol: Network Address Translation, NAT Types (Static, Dynamic, PAT).
• Routing: Routing Tables, Router functions.</t>
  </si>
  <si>
    <t>• Storage Systems: File Organization (Heap, Sequential, Indexed).
• Indexing: Primary, Secondary, Dense, Sparse, Clustered, Non-Clustered indexing.
• Index Trees: B-Tree and B+ Tree structures, Indexing node splitting.
• Query Processing &amp; Execution: Parsing, Cost-based Optimization, Execution, Buffer Pool Cache.
• Execution Plans: Query Execution Plans (EXPLAIN, Execution Tree representation).</t>
  </si>
  <si>
    <t>• Window Functions: ROW_NUMBER(), RANK(), DENSE_RANK() with PARTITION BY, LEAD(), LAG().
• Advanced Window Functions: FIRST_VALUE(), LAST_VALUE(), JSON Data Handling in SQL Databases.
• Common Table Expressions (CTEs): WITH syntax, Recursive CTEs.
• Pagination Queries: LIMIT, OFFSET query design.
• Application Queries: Reporting queries, dashboard queries, analytics queries.</t>
  </si>
  <si>
    <t>• Disk &amp; Files: File concepts, directory structures, Memory-Mapped Files.
• File Allocation: Allocation methods (Contiguous, Linked, Indexed).
• Disk Scheduling: Disk structure, Disk scheduling (FCFS, SSTF, SCAN, C-SCAN).
• Device Management: DMA (Direct Memory Access), Interrupts, Buffering vs Caching vs Spooling.
• Security: Protection, Access Control.</t>
  </si>
  <si>
    <t>• Transport Layer: Transport Layer ports, Well Known vs Ephemeral ports.
• TCP: Connection-Oriented protocol, Three-Way Handshake, Connection termination (Four-way handshake).
• TCP Flow &amp; Congestion: Sliding Window flow control, Congestion Control basics.
• UDP: Connectionless protocol, UDP vs TCP trade-offs.
• Network Security: VPNs, Firewalls.</t>
  </si>
  <si>
    <t>• Database Recovery: Failures types, Log-Based Recovery (Write-Ahead Logging).
• Database Security &amp; Distributed: Auth, GRANT/REVOKE, Distributed Transactions (Two-Phase Commit).
• Integrity Constraints: Entity Integrity, Referential Integrity, Domain Integrity.
• NoSQL Models: Key-Value, Document, Column-Family, Graph Databases.
• Data Warehousing &amp; OLAP: Data Warehousing, OLTP vs OLAP, Star Schema &amp; Snowflake Schema.</t>
  </si>
  <si>
    <t>• Indexes: Clustered Index, Non-Clustered Index, Composite Index, Index covering, Index Scan vs Full Table Scan.
• Transactions &amp; Locks: Transaction boundaries, ACID properties, Database Locks in SQL Transactions.
• Isolation Levels: Read Uncommitted, Read Committed, Repeatable Read, Serializable.
• Query Optimization: Query Optimization &amp; Execution Plans, Query Performance Tuning, Partitioned Tables.
• Database Programmability: Stored Procedures, User Defined Functions, Triggers.</t>
  </si>
  <si>
    <t>• Virtualization: Containers vs Virtual Machines, Hypervisors (Type 1 vs Type 2).
• Linux Fundamentals: Linux File System Hierarchy, Root Directory Structure.
• Linux Shell Commands: pwd, ls, cd, cp, mv, rm, cat, grep, find, chmod, chown, ps, top, kill.
• Shell Concepts: Pipes, Redirections, Bash shell variables.
• OS Performance: Observability metrics, shell scripting basics.</t>
  </si>
  <si>
    <t>• Application Protocols: DNS resolution, DHCP IP allocation process.
• HTTP Protocol: HTTP request/response, HTTP Methods, Status Codes, HTTP Versions (HTTP/1.1, HTTP/2, HTTP/3).
• Advanced Streaming: WebSockets, Server-Sent Events (SSE), gRPC Fundamentals.
• Proxy &amp; Load Balancer: Forward vs Reverse Proxy, Load Balancers (Layer 4 vs Layer 7), CDN Architecture.
• Network Security &amp; Auth: Same-Origin Policy (SOP), CORS, Authentication (Session, Cookie, Token, OAuth2, JWT), Rate Limiting Basics.</t>
  </si>
  <si>
    <t>• 3-Schema Architecture: External, conceptual, and physical schema mappings, logical vs physical data independence.
• Relational Key Constraints: Primary keys vs Candidate keys, foreign key referential integrity constraints, check constraints.
• Relational Algebra: Set operations, selections, projections, cartesian products, natural joins execution behaviors.
• Database Normalization: Functional dependencies, 1NF, 2NF, 3NF, BCNF validation anomalies, lossy vs lossless decomposition.
• Transaction ACID Properties: Atomicity commit log, consistency rules, isolation concurrency anomalies, durability write-ahead log.
• Isolation Levels: Read Uncommitted, Read Committed, Repeatable Read, Serializable; locking mechanisms.
• Concurrency Control: Two-Phase Locking (2PL), Strict 2PL deadlock avoidance, Multi-Version Concurrency Control (MVCC) snapshot reads.
• B+ Tree Indexing: Node splitting layouts, clustered vs non-clustered indexes search steps, covered indexes.
• Database Recovery: Undo/Redo logs, checkpoint operations, write-ahead logging (WAL) protocol rules.
• Distributed Databases: Replication topologies (Master-Slave vs Multi-Master), CAP theorem partitions, OLTP vs OLAP star schema.</t>
  </si>
  <si>
    <t>• SQL Execution Lifecycle: Logical query processing order (FROM -&gt; JOIN -&gt; WHERE -&gt; GROUP BY -&gt; HAVING -&gt; SELECT -&gt; ORDER BY).
• Advanced Join Mechanics: Nested loop joins, Hash joins, Merge joins computational complexities.
• Subqueries vs CTEs: Correlated subqueries execution costs, recursive CTEs configurations, temp tables.
• Window Functions: Partitioning collections, ROW_NUMBER vs RANK vs DENSE_RANK differences, LEAD/LAG data ranges.
• Pagination &amp; Upserts: LIMIT/OFFSET optimization, UPSERT formats (ON CONFLICT DO UPDATE, MERGE statements).
• Query Indexing Optimizations: Index scan vs index seek selections, composite index column order matching keys.
• Transactions Locks: Shared vs exclusive locks, transactional boundaries configurations, locking hints.
• SQL Views: Updatable view rules, materialized views caching, refresh strategies execution.
• Database Programmability: Stored procedures execution pre-compilation, UDFs performance traps, transactional triggers.
• JSON Parsing: Querying JSON payloads, nested document extraction, indexes on JSON properties.</t>
  </si>
  <si>
    <t>• System Calls: User mode vs kernel mode context switch steps, CPU registers state preservation.
• CPU Scheduling: Gantt charts, FCFS, SJF, Round Robin time slice allocations, starvation mitigations.
• Process Synchronization: Critical section problems, Mutex vs Semaphore (counting/binary) lock states, Peterson's algorithm.
• Deadlocks Prevention: Necessary conditions (Mutual Exclusion, Hold &amp; Wait, No Preemption, Circular Wait), Banker's Algorithm.
• Memory Management Paging: Virtual address translation, Page Tables, Translation Lookaside Fund (TLB) hits, page faults.
• Page Replacement Algorithms: FIFO anomaly, Least Recently Used (LRU) tracking, Optimal replacement math.
• Disk Scheduling: SCAN, C-SCAN, SSTF track travel distances calculations, rotational latency.
• Linux Shell Filters: Piping stdout to stdin, grep filters, find selectors, permissions (chmod chown) octal flags.
• Inter-Process Communication (IPC): Shared memory segments concurrency vs message passing queues, sockets mappings.
• Virtualizations: Container namespaces isolation vs Virtual Machine type-1 hypervisors performance comparisons.</t>
  </si>
  <si>
    <t>• Layer Encapsulation: Protocol Data Units (PDUs) mapping, TCP segment headers, IP packets, Ethernet frames.
• ARP Broadcast Flow: Address Resolution Protocol cache lookup, IP-to-MAC resolution broadcasts, ARP spoofing.
• Subnetting &amp; CIDR: Subnet mask CIDR notation math, host counts, broadcast addresses calculations.
• NAT &amp; PAT: IP address translation types, port mappings tables, private range routing constraints.
• TCP Handshake States: 3-way handshake SYN/ACK sequence numbers, 4-way FIN termination socket closures.
• TCP Congestion Control: Congestion window phases (Slow Start, Congestion Avoidance, Fast Retransmit, Fast Recovery).
• DNS Resolution Hierarchy: Root servers, TLD servers, Authoritative nameservers lookup flows, caching DNS entries.
• HTTP Protocol Versions: HTTP/1.1 keep-alive vs HTTP/2 multiplexing streams vs HTTP/3 QUIC connection migrations.
• WebSockets &amp; SSE: WebSockets full-duplex TCP connections vs Server-Sent Events HTTP streams.
• CORS &amp; Same-Origin Policy: Same-Origin Policy constraints, CORS preflight request OPTIONS validation headers.</t>
  </si>
  <si>
    <t>APTITUDE - LEARNING ARCHITECTURE</t>
  </si>
  <si>
    <t>• Divisibility Rules, Prime Numbers, Factors &amp; Multiples, LCM &amp; HCF.
• Remainders: Modular arithmetic, Cyclic patterns, Unit digit patterns.
• Number System: Natural numbers, integers, cyclic patterns.
• Fractions &amp; Decimals simplification techniques.
• Arithmetic Simplification shortcuts.</t>
  </si>
  <si>
    <t>• Tenses: Simple, Continuous, Perfect forms.
• Tense Consistency: Tense consistency rules across clauses.
• Subject-Verb Agreement (SVA): Basic rules, collective nouns.
• SVA Exceptions: Indefinite pronouns, common SVA errors.
• Articles &amp; Adjectives: Definite/Indefinite, comparisons.</t>
  </si>
  <si>
    <t>• Percentages: Change, successive percentage change.
• Growth &amp; Depreciation: Population growth, machine depreciation.
• Profit and Loss: Cost/Selling/Marked Price, Discount.
• Profit and Loss: Profit/Loss Percentage, successive discounts.
• Simple &amp; Compound Interest: Formula derivations, SI vs CI, compounding intervals.</t>
  </si>
  <si>
    <t>• Prepositions: Prepositions of time, place, direction.
• Phrases &amp; Clauses: Noun/Verb phrases, independent/dependent clauses.
• Participles &amp; Gerunds: Participial phrases.
• Modifiers: Misplaced, dangling modifiers.
• Conditionals: Zero, First, Second, Third conditional.</t>
  </si>
  <si>
    <t>• Time and Work: Work efficiency, combined work.
• Time and Work: Work sharing, wages.
• Pipes and Cisterns: Inlet and outlet problems, leakages.
• Time Speed Distance: Speed-Distance relationships, relative speed.
• TSD Problems: Train problems, boat and stream problems.</t>
  </si>
  <si>
    <t>• Vocabulary: Synonyms and Antonyms.
• Word Analysis: Root Words, Prefixes, Suffixes.
• Vocabulary: Phobias, Philes, Idioms &amp; Phrases.
• Vocabulary: One-word substitutions.
• Word Usage: Contextual word usage.</t>
  </si>
  <si>
    <t>• Coding and Decoding: Letter, number, alphanumeric coding.
• Direction Sense: Cardinal directions, distance, shortest path.
• Blood Relations: Family tree, coded relations, generations.
• Alphabet Test: Position arrangement, relative rankings.
• Ranking: Order &amp; Arrangement problems.</t>
  </si>
  <si>
    <t>• Reading Comprehension: Reading speed, theme identification.
• Reading Comprehension: Fact vs Inference, reading efficiency.
• Critical Reasoning: Argument analysis.
• Critical Reasoning: Assumptions, strengthen/weaken arguments.
• Critical Reasoning: Fact vs Opinion.</t>
  </si>
  <si>
    <t>• Permutations &amp; Combinations: Counting principles, selections.
• Permutations &amp; Combinations: Arrangements.
• Probability: Basic probability, independent/dependent events.
• Advanced Probability: Conditional probability.
• Syllogisms &amp; DI: Venn diagram method, tables, Bar/Line/Pie charts.</t>
  </si>
  <si>
    <t>• Sentence Correction: Spotting errors, sentence improvement.
• Para Jumbles: Sentence rearrangement, logical flow.
• Interview Prep: Resume presentation.
• Interview Prep: Behavioral questions responses (STAR method).
• Professional Communication: HR communication, professional presentation.</t>
  </si>
  <si>
    <t>• Numbers Divisibilities: Prime factorization, remainders theorems, cyclicity rules, LCM/HCF word problems.
• Percentages &amp; Profit: Succession percentage modifiers, marked price margins, discount computations.
• Interest Rates Formulations: Simple vs compound interest compound intervals derivations, SI/CI difference math.
• Time Work Efficiencies: Work rate fractions allocations, joint work speed, pipes cisterns leakage calculations.
• Time Speed Distance: Relative speed status calculations, average speed formulas, trains crossing, boats upstream/downstream speed.
• Permutations Combinations: Selections counting permutations, dynamic permutations with circular restraints.
• Probabilities: Independent vs dependent events sample space allocations, Bayes conditional probabilities.
• Data Interpretations: Reading bar charts, line plots, pie charts ratios variables calculations.
• Number Series: Arithmetic, geometric progressions, difference patterns identification under time constraint.
• Equations Simplifications: Surds indices formulas, quadratic root properties, algebraic shortcuts.</t>
  </si>
  <si>
    <t>• Subject Verb Agreement: Dynamic SVA configurations, collective nouns exceptions, compound subjects validations.
• Modifiers Placements: Dangling modifiers refactorings, misplaced modifiers corrections, adjectives clauses.
• Verb Tense Consistencies: Conditional tenses (zero/first/second/third conditionals), progressive aspects.
• Active Passive Voices: Direct indirect transformations rules, pronouns shifts, tenses mappings.
• Vocabulary Contexts: Synonyms/antonyms identification, word roots meanings, prefixes context validations.
• Idiomatic Usages: Phrasal verbs combinations, common business idioms, grammatical expressions.
• Reading Comprehension: Core theme identification, fact extraction, inference validation under time.
• Sentence Corrections: Error detection, parallelism, redundancies elimination.
• Para Jumbles: Paragraph structural logical flow, transition words mappings, opening/closing sentences.
• Interview Resumes: STAR technique explanations, resume structural alignments, presentation style configurations.</t>
  </si>
  <si>
    <t>WEB DEV - LEARNING ARCHITECTURE</t>
  </si>
  <si>
    <t>• HTML5 Semantics &amp; Standards: Semantic layout architecture using &lt;header&gt;, &lt;nav&gt;, &lt;main&gt;, &lt;article&gt;, &lt;section&gt;, &lt;aside&gt;, &lt;footer&gt;; SEO indexing and accessibility (a11y) implications.
• Text &amp; Content Organization: Block vs inline formatting, lists, tables, descriptive attributes, and document outline rules.
• Advanced Forms &amp; Input Validation: Native forms validation, input types, label accessibility, fieldset/legend groupings, and enctype options.
• Media Embeds &amp; Optimization: picture tags, source sets (srcset/sizes), responsive video, audio, and secure IFrames sandboxing.
• Web Accessibility &amp; WCAG Guidelines: ARIA mapping, screen reader trees, focus ring management, keyboard tab-indexing, focus trapping.</t>
  </si>
  <si>
    <t>• JS V8 Engine Architecture: Abstract Syntax Tree (AST) creation, Ignition interpreter execution, TurboFan JIT compiler optimization, hidden class shapes.
• Execution Context &amp; Lifecycles: Call stack mapping, Global/Function Execution Context phases (Creation Phase, Memory Allocation, Execution Phase).
• Hoisting Mechanics: Function declaration hoisting vs var hoisting (undefined) vs let/const Temporal Dead Zone constraints.
• Lexical Environments &amp; Scopes: Identifier lookup rules, outer environment maps, scope chain traversal, lexical vs dynamic scopes.
• Memory Heap &amp; Garbage Collection: Stack vs Heap allocation, reference counting problems, Mark-and-Sweep garbage collection, memory profiling.</t>
  </si>
  <si>
    <t>• Libuv Event Loop Internals: Event loop phase details (Timers, Pending, Idle/Prepare, Poll, Check, Close) under Libuv engine.
• Libuv Thread Pool Concurrency: Thread allocation systems, async I/O worker executions, adjusting thread limits.
• Node Cluster Module Pipelines: Multi-core worker clusters configurations, master-worker task allocations, IPC messages communications.
• Stream Pipelines &amp; Backpressure: Readable/writable/duplex/transform streams allocations, backpressure stream control algorithms.
• Node Buffer &amp; File APIs: Binary allocations buffers, file descriptor accesses, async reading/writing files pipelines.</t>
  </si>
  <si>
    <t>• Sass Syntax &amp; Compilations: SCSS vs Sass styles compilation, variables declaration, nesting selectors syntax, parent references mapping.
• Sass Mixins &amp; Custom Functions: Mixins with arguments, @include rules, mathematical layout functions, custom return directives.
• Sass Inheritance &amp; Module imports: @extend directives, placeholder selectors overrides, file partials splitting layouts, @use and @import rules.
• Sass Loops &amp; Control Flows: Conditional formatting directives (@if/@else), @for loop utility generators, @each mapping structures.
• Sass Color &amp; List manipulation: Built-in SCSS color adjustments APIs, list structures iteration, map mappings configurations.</t>
  </si>
  <si>
    <t>• Virtual DOM Diffing &amp; Fiber Architecture: Reconciliation O(N) heuristic assumptions, element key validations, component type comparisons, DOM tree updates.
• React JSX Compilations: JSX conversion to React.createElement/jsx-runtime compilation outputs, element configurations validations.
• Functional Components Design: Component rendering logic, reusable modular layouts structures, composition patterns.
• Component Props &amp; Verification: Props read-only constraints, props validation patterns, prop drilling problems, default values structures.
• Lists Mapping &amp; Keys: Mapping data arrays to JSX elements, key attributes requirements, index vs unique IDs rules.</t>
  </si>
  <si>
    <t>• Static Typing Systems: Types vs Interfaces differences, object shape definitions, structural typing rules.
• Type Assertions &amp; Annotations: Casting syntax, non-null assertions, primitive type mappings.
• Functions Typing: Optional parameters, default values, rest parameters typing, function signatures overloading.</t>
  </si>
  <si>
    <t>• Next.js App Routing structures: File-system layouts routing, App Router directory structures, layouts and templates mappings.
• App Layouts &amp; Navigation: Nested route layouts, dynamic page navigation, template elements, loading states, error boundaries.
• Dynamic Route segments: Catch-all path segments ([...slug]), optional catch-all parameters, dynamic segments matching.</t>
  </si>
  <si>
    <t>• CSS Selectors &amp; Specificity: Combinator selectors, pseudo-class state selectors, pseudo-element selectors, specificity weight math rules, wildcard overrides, and !important resolution.
• CSS Box Model Mechanics: Padding, border, margin; border-sizing (border-box vs content-box) comparison, margin collapse triggers, and overflow containment.
• Typography &amp; Web Fonts: Google Fonts imports, font-display strategies (swap) for fast loads, line-height calculations, letter-spacing, and font formats (WOFF2).
• Cascade Resolution &amp; Inheritance: Inheritance boundaries, overrides via initial, inherit, revert, and unset values; Cascade Layers (@layer).
• Custom CSS Variables: Dynamic custom property scope, runtime variables override using JavaScript, fallbacks, dark mode styling.</t>
  </si>
  <si>
    <t>• Closure Internals &amp; Scopes: Scoping closures, variables capture, dynamic scoping limits, preventing garbage collection of variables.
• Dynamic Execution Context (this): Default binding rules, implicit calls binding, explicit call/apply/bind overrides, lexical arrow functions.
• Prototypes &amp; Inheritances: Prototype chain linkage, function prototype vs Object __proto__, Object.create mechanics, shadow property resolutions.
• ES6 Classes Compilation: Class declarations transpilation to prototype mappings, constructor execution, super calls, static methods.
• Memory Leak Debugging: Detached DOM nodes tracking, uncleaned event listeners, memory profilers heap snapshots inspections.</t>
  </si>
  <si>
    <t>• Express Request-Response Lifecycle: Request incoming headers parsing, middleware route intercepts, response status mappings.
• Express Custom Middleware Architectures: Custom global/route middleware handlers setups, context payload bindings, next() routes passing.
• Express Routing Match Engine: Route pattern maps (static/dynamic), router routing namespaces grouping.
• Express Global Error Interceptors: Centralized handlers setups, next(err) passes triggers, custom subclass errors formatting.
• Static Asset Uploads Securing: Directory access restriction controls, CORS constraints, public static directories setups.</t>
  </si>
  <si>
    <t>• Bootstrap Sass Integration: Package setup, custom styling overrides, variable mappings ($theme-colors), and Sass utility compiler generation.
• Bootstrap Grid Mechanics: Container structures, 12-column grid layout, column breakpoints modifiers, offsets, and row alignment classes.
• Bootstrap Utility Classes: Spacing utilities (margins/padding), typography alignments, display wrappers, border classes, and color helpers.
• Bootstrap Basic Components: Responsive buttons, customized cards, styling badges, alert notifications, and list-group setups.
• Bootstrap Navigation Bars: Mobile-first headers, responsive hamburger toggles, dropdown menu alignments, and accessibility role adjustments.</t>
  </si>
  <si>
    <t>• React State Dispatch Hooks: State queue schedules, update batching runs, functional state updates, reference validations.
• useEffect Lifecycle Engines: Effect queue scheduling, dependency arrays comparisons, cleanup execution lifecycles.
• useLayoutEffect Synchronous Updates: Paint blocking DOM measure operations, paint pipelines alignment, DOM operations.
• Functional Lifecycles Emulations: Simulating mounting, dynamic updating, unmounting lifecycles using hook collections.
• Forms Controlled Inputs: Syncing input states, validator layouts setup, validation rules execution, submit structures.</t>
  </si>
  <si>
    <t>• Advanced Union &amp; Intersection Types: Dynamic type extensions, literal unions, intersection configurations, type aliases.
• Type Narrowing &amp; Guards: typeof type guards, instanceof class guards, custom type predicates, in operator validations.
• Discriminated Unions: Kind property patterns, exhaustive checks using never type compiler validations.</t>
  </si>
  <si>
    <t>• React Server Components (RSC): Server-rendered React components lifecycle, client components boundaries ('use client' directive).
• Server Data Fetching: Fetch cache management, parallel fetches, streaming rendering pipelines, Suspense placeholders.
• Rendering Configurations (SSR/SSG/ISR): Server rendering data fetching request lifecycle, static page builds, ISR revalidation timers.</t>
  </si>
  <si>
    <t>• CSS Positioning Engine: Static, relative, absolute (containing block scopes), fixed, and sticky viewport layouts; z-index stacking context creation.
• Flexbox Layout Alignment: Flex direction mapping, alignment utilities (justify-content, align-items, align-self), wrapping flows, dynamic spacing, gap calculations.
• Flexbox Sizing &amp; Growth: Flex growth rates calculation (flex-grow), shrink weights (flex-shrink), baseline sizing (flex-basis), and flex wrap container bounds.
• CSS Grid Template Structure: Explicit vs implicit grids templates, named grid template areas, fractional unit (fr) calculations, auto-fit/auto-fill, minmax limits.
• CSS Grid Placement Algorithms: Auto-placement algorithms, grid row/column lines layouts, dense packing mode (grid-auto-flow: dense), gap spacing, and grid span layouts.</t>
  </si>
  <si>
    <t>• Event Loop Concurrency Model: Call stack executes, Web APIs timers, Task Queue (Macrotasks) vs Microtasks Queue (Promises, MutationObservers).
• Asynchronous Callbacks Engine: Async callbacks lifecycles, callback execution limits, handling error parameters.
• Promises Specifications: States mapping (Pending, Fulfilled, Rejected), chaining handlers (.then, .catch, .finally), implementing custom Promise.
• Async/Await Executions: Parsing await keywords, try-catch async error handling, parallel vs sequential executions, async iterables.
• Network Fetch Specifications: Fetch API integrations, request/response headers configs, CORS validation requirements, JSON translations.</t>
  </si>
  <si>
    <t>• WiredTiger Storage engine: B-tree collections indexing mapping, document locking mechanisms, dirty page collections cache options.
• MongoDB Query Operators: Logical/comparison selectors configurations, array updates operators maps, projection validations.
• MongoDB Indexes Strategy: Compound index configurations (Equality-Sort-Range rule), partial indexes setups, covered query indexes.
• MongoDB Aggregation Pipelines: Chain stages ($match, $project, $group, $unwind, $lookup, $facet) optimization operations.
• ACID Transactions replica sets: Multi-document updates transactions, session lock limits, commit/rollback validations.</t>
  </si>
  <si>
    <t>• Bootstrap Form Layouts: Input controls, validation feedback classes, input group extensions, floating labels, checkbox/radio layouts.
• Bootstrap JS Components: Modals triggering, dynamic accordions, carousel slides, dynamic tooltip and popover configuration.
• Bootstrap SCSS Custom Overrides: Overriding grid breakpoint maps, customizing border widths, adjusting global spacing units, custom component exports.
• Bootstrap Flexbox Utilities: Flex display wrappers, alignment utilities, ordering helper classes, wrap overrides.
• Bootstrap Custom Utilities API: Creating utility classes dynamically using Bootstrap utility maps, purging unused component styles.</t>
  </si>
  <si>
    <t>• Performance Optimization Hooks: Caching calculations via useMemo, stabilizing function references using useCallback, reference checks.
• React.memo Component Memoization: Prop validations, custom equality comparators mapping, rendering optimizations.
• React Window Virtual List: Rendering visible viewport elements, dynamic lists virtualizations, DOM nodes footprint limiters.
• React Lazy &amp; Suspense boundary: Code-splitting setups, dynamic import loading states, fallback UI implementations.
• Mutable Refs &amp; DOM Hooks: Accessing DOM elements via useRef, persist mutable values, forwardRef layouts wraps.</t>
  </si>
  <si>
    <t>• TypeScript Generics: Generic functions, type constraints parameters, generic classes interface definitions.
• Utility Types API: Pick, Omit, Record, Partial, Required, Readonly, ReturnType usages.
• Conditional Types: Infer keyword structures, dynamic return mapping, utility helpers extensions.</t>
  </si>
  <si>
    <t>• Next.js Server Actions: Action mutations execution, server validation mapping, input data processing pipeline, data revalidation tag sets.
• App Router Route Handlers: Writing endpoint routing maps (route.ts), request/response body conversions, custom status codes.
• Next.js Custom Middlewares: Edge runtimes interceptors, route redirects maps, cookie allocations adjustments, headers overrides.</t>
  </si>
  <si>
    <t>• CSS Media Breakpoints: Responsive viewport layouts, mobile-first design workflows, container query breakpoints for component-level styles responsiveness.
• Sizing &amp; Units Architecture: Relative (em, rem, vh, vw, %) vs absolute (px) measurements; mathematical layout calculations via calc(), min(), max(), clamp().
• CSS Transforms: Translate, scale, rotate, skew operations; transform-origin mappings, 3D space rendering perspective, transform-style nested rules.
• GPU-Accelerated Rendering: Compositor layout thread vs main thread, will-change hints, translate3d offsets, avoiding reflow/repaint triggers.
• Transitions &amp; Bezier Curves: CSS transitions properties, delays, custom cubic-bezier transition speed curves, focus/hover states transitions.</t>
  </si>
  <si>
    <t>• V8 Array Allocations: Packed vs Holey arrays, dynamic array resizing algorithms, time complexities of array transformations.
• High-Order Arrays Transformations: Custom map/filter/reduce executions, sorting algorithms comparison, chaining mutations.
• Objects &amp; Array Destructuring: Dynamic destructuring, nested object extractions, renaming property parameters, spread/rest usages.
• JavaScript Map &amp; Set Structures: Key hash mappings, WeakMap/WeakSet garbage collection lifecycles, memory tracking comparisons.
• Symbols &amp; Iterations Protocols: Symbol creation, custom iterable iterations protocols, implementing [Symbol.iterator] custom generators.</t>
  </si>
  <si>
    <t>• Mongoose Pool Connections: Connection configuration properties setups, auto-reconnect configurations, connection event hooks.
• Mongoose Schema Data Validators: Native validators, custom validation hooks, pre/post database operation middlewares.
• Mongoose Referencing &amp; Populate: Object ID schemas mapping, populated document joins, cascading delete operations.
• Enterprise validation middleware: Request validators using schema models, parameters cleanings pipelines.
• MongoDB Seeding Migrations pipelines: Write migration scripts, seed dataset runs, schema structural validations.</t>
  </si>
  <si>
    <t>• Tailwind CSS Configuration: PostCSS setups, customizing utility maps, configuration file overrides (tailwind.config.js), theme extensions.
• Tailwind Spacing Systems: Dynamic padding/margins classes, sizing ranges, arbitrary value configurations e.g. w-[234px].
• Tailwind Responsive Design: Responsive viewport prefixes (sm, md, lg, xl, 2xl) execution workflows, mobile-first design rules.
• Tailwind State Modifiers: Hover/focus states mapping, active styles, group-hover modifiers, peer selectors, custom active states.
• Tailwind Custom Typographies: Font configuration mappings, weight modifiers, line-height overrides, tracking details.</t>
  </si>
  <si>
    <t>• Context API Scoping Bottlenecks: Creating context scopes, consumer re-render optimizations, state updates propagation limits.
• Redux Toolkit Store Architectures: Store setups, slice creations, dispatching action payloads, writing reducer mutations.
• RTK Query Caching Pipelines: Cache configuration setups, dynamic endpoints integrations, cache TTLs, auto-refetch validation.
• Component Assertions (RTL): Virtual DOM render tests, userEvent interface simulators, element visibility validations.
• API Service Mocking (MSW): Intercepting test network calls, custom mock servers setups, integration tests validations.</t>
  </si>
  <si>
    <t>• TSConfig Strict mode options: Config files compilation rules, strict flags overrides, JSX vs TSX layouts extensions.
• Access Modifiers &amp; Classes: public, private, protected overrides, read-only parameters properties, abstract classes interfaces.
• Modules &amp; Declarations: ESM import/export formats, ambient declarations mapping, .d.ts definition files structures.</t>
  </si>
  <si>
    <t>• NextAuth.js Integration: Identity providers setups, OAuth adapter structures, credentials custom validators, session cookies configurations.
• Next.js Security headers: Helmet-style security headers, Content Security Policy (CSP), CORS configurations.
• Image &amp; Font Layout optimizations: next/image layout optimizations, next/font layout shift preventions, layout constraints.</t>
  </si>
  <si>
    <t>• Keyframe Animations: @keyframes lifecycle, animation-fill-mode (forwards, backwards, both), iteration cycles, play-state toggles, and performance optimization.
• Shapes &amp; Visual Effects: Vector clipping masks (clip-path), shape-outside text wrapping layouts, drop-shadow filters, box-shadows, and text-shadows.
• BEM Naming Methodology: Scalable styling systems, BEM (Block-Element-Modifier) naming, layout file structuring, nesting limits.
• CSS Reset vs Normalize: Browser layout inconsistency overrides, user agent stylesheet resets, standardizing margins/padding properties.
• Git Internals &amp; DAG: Internal object models, SHA-1 naming keys, Blobs (file contents), Trees (directories), Commits metadata, and DAG history architecture.</t>
  </si>
  <si>
    <t>• Browser DOM Trees: HTML parsing to DOM, CSSOM layouts parsing, Layout Tree creation, paint layers, GPU composting.
• DOM Node Manipulations: Selection methods, batching updates, DocumentFragments layouts usage, updating inline styles.
• Browser Event Life Propagation: Capturing phase, Target phase, Bubbling phase flows; event delegation setups.
• Event Listeners Optimizations: Dynamic event listener additions, custom event creations, passive listeners, preventDefault/stopPropagation rules.
• Javascript Proxy &amp; Reflect: Intercepting object operations, validating property assignments, implementing observable objects layouts.</t>
  </si>
  <si>
    <t>• REST API Spec Alignments: Endpoint design conventions, standard REST responses templates, HTTP status configurations.
• JWT Signing Key Protocols: Cryptographic key generations, token signing algorithms HS256 vs RS256, signing setups.
• Token Rotations refresh structures: DB-stored refresh token rotations systems, access tokens short lifecycles settings.
• Express CORS OPTION preflights: Configuring allowed origins settings, preflight cache parameters alignments.
• Docker &amp; Redis integration: Containerizing Node servers via multi-stage builds, PM2 clustering, caching database queries with Redis, key invalidations.</t>
  </si>
  <si>
    <t>• Tailwind Flex &amp; Grid Utilities: Dynamic grids templates classes (grid-cols-x), flex columns layouts, gap sizes modifiers, items alignment.
• Tailwind Dark Mode Systems: Class-based vs media-query toggles, dark class prefix integrations, styling states.
• Tailwind Compiler Plugins: Form reset plugins, typography prose, line-clamp integration, aspect-ratio plugins.
• Tailwind Custom Utility Directives: Extracting styling layouts via @apply directive, customizing utility layers, injecting base resets.
• Tailwind CSS Compilations: JIT compilation engine, purge settings for unused utility classes, stylesheet size optimizations.</t>
  </si>
  <si>
    <t>• React Higher-Order Components: Wrapping component layouts, injecting cross-cutting props, extending functionalities.
• Render Props Design Patterns: Sharing states across components, dynamic children callbacks, rendering delegation.
• Custom Hooks Architectures: Extracting react hooks patterns, reusable hooks variables, isolating component logics.
• Compound Components Patterns: Enforcing parent-child dependencies configurations, shared context setups, clean declarations.
• Vite Production Bundler Setup: Output directory packaging configurations, code splitting optimizations, minification rules.</t>
  </si>
  <si>
    <t>• Typing React Hooks &amp; State: useState reference mapping, useEffect cleanups typing, useRef mutable containers.
• Typing Forms &amp; Events: React.FormEvent handlers, React.ChangeEvent input overrides, typing context providers.
• Tooling &amp; Compilations: ESLint rules setups, ts-loader configuration, Vite TSX bundling plugins setups.</t>
  </si>
  <si>
    <t>• Dynamic Imports Optimization: Lazy loading bundles splits via next/dynamic, bundle sizes reduction.
• Docker deployments configurations: Multi-stage Docker builds optimizations, Vercel deployments mapping, PM2 configurations.
• Metadata &amp; SEO configurations: Dynamic metadata configurations API, dynamic sitemaps, robots configurations.
• Web Vitals Analytics tracking: CLS monitoring, LCP tracking scripts, performance logs mappings.
• Enterprise Caching layers: Request deduplication, Data Cache, Full Route Cache, Router Cache systems.</t>
  </si>
  <si>
    <t>• HTML5 Semantic Layout: Explaining semantic layout structures vs generic divs, SEO crawler indexings, accessibility trees.
• Web Accessibility (a11y): WCAG guidelines conformance, ARIA attributes configuration roles, focus trapping execution.
• CSS Specificity Engine: Specificity weight calculation rules, class vs ID overrides, Cascade Layers specificity bounds.
• Box Model Rendering: Box-sizing boundary overrides, margin collapses scenarios, block formatting context (BFC) triggers.
• Positioning Layers: Sticky positioning scroll limits, absolute containment bounds, z-index stacking context formations.
• Flexbox vs CSS Grid Selection: Flex axes alignments vs Grid template layouts design trade-offs.
• Hardware-Accelerated CSS: GPU composite threads will-change hints, translate3d offsets, reflows reduction.
• CSS Custom Properties: Dynamic variable inheritance, runtime JS variable modifications, fallbacks configurations.
• Git DAG Internals: Directed Acyclic Graph structure, SHA-1 key allocations, blob/tree structures inside .git database.
• Git Recovery &amp; Plumbing: Git reflog commit restores, stashing flows, cherry-picking commits, interactive rebases.</t>
  </si>
  <si>
    <t>• JS V8 Compiler Engine: AST compilation steps, Ignition interpreter allocations, TurboFan optimization/deoptimization parameters.
• Execution Context: Scope chain lookup mechanics, variables creation/execution, let/const Temporal Dead Zone bounds.
• Closures Memory Capture: Scope variables references capture, garbage collection of closed variables, memory leaks traps.
• Dynamic Context Binding: Bindings rules of this, explicit overrides (call/apply/bind), lexical scope in arrow functions.
• Prototypes &amp; Inheritances: Prototype chain traversal, prototype object properties maps, ES6 class syntax transpilation maps.
• Event Loop Execution: Concurrency queue scheduling, Macrotasks vs Microtasks execution priority runs, event loop ticks.
• Promises Implementation: Chained states mappings, promise jobs queue allocations, writing Custom Promise from scratch.
• Async Iterators &amp; Generators: Generator * yield mechanics, async iterators protocols, sequential vs parallel await executions.
• Memory Leak Profiles: Detached DOM nodes tracking, profiling memory heap allocations snapshots inside DevTools.
• Metaprogramming with Proxies: Traps mappings (get/set/delete), Reflect methods configuration, Symbol integrations.</t>
  </si>
  <si>
    <t>• Libuv Concurrency Phases: Timers, pending, poll, check, close callback loops, thread pools allocations configurations.
• Stream Backpressure: readable-writable stream sizes balance, memory buffer limits, write drain event triggers.
• Multi-core Worker Clusters: Cluster allocations, IPC messaging channels setup, PM2 process management systems.
• Express Routing Tries: Route regex patterns compilations, middleware chain executions, request-response execution scopes.
• Centralized Error Handlers: Custom error subclass mappings, global Express error catches middlewares, formats stack traces.
• WiredTiger Database Engines: Document-level locks, cache size optimizations, B-Tree index traversal procedures.
• MongoDB Index Configurations: ESR (Equality, Sort, Range) compound indexing rules, covered query indexes, partial indexes.
• MongoDB Aggregations Optimization: Pipeline stages execution limits, matching filters allocations, lookup data joins.
• JWT Security Configurations: JWT token signing keys (HS256 vs RS256), token rotations setups, revocation registers.
• Docker Containerizations: Multi-stage Docker configurations optimizations, Node environment variables mappings, build caching.</t>
  </si>
  <si>
    <t>• Sass Compilation Steps: SCSS vs Sass parsing compilation, compilation setups, variables maps.
• Sass Mixins &amp; Controls: Dynamic mixin parameters passing, control structures (@if/@else), loop utility mappings.
• Bootstrap Sass Customizations: SCSS variables modifications, grid maps overrides, compiling custom theme configurations.
• Bootstrap Grid Breakpoints: Container grid offsets classes, viewport breakpoints modifications, nested grids.
• Bootstrap Interactive Components: JavaScript modals hooks, carousels configurations events handlers.
• Tailwind CSS JIT Compilation: JIT compilers performance improvements, parsing contents paths mappings.
• Tailwind Utility Extensions: Configuring custom classes extensions inside tailwind.config.js maps.
• Tailwind Responsive Selectors: Viewport breakpoints modifiers flow, hover/focus state modifiers overrides.
• Tailwind Class Extractions: Injecting custom utilities layers, apply directives performance implications.
• CSS Purging Production: Scanning files configurations, purging unused classes layouts, CSS size limits.</t>
  </si>
  <si>
    <t>• Virtual DOM Reconciliation: Reconciliation heuristics complexity calculations O(N), key attributes validations.
• Fiber Tree Lifecycles: Work-in-Progress trees, Alternate trees, Render phase allocations vs Commit phase atomic updates.
• Concurrent React Lanes: Priority lane scheduling setups, state update updates batches triggers.
• useEffect Execution Phases: Dependency comparisons rules, cleanup operations triggers, layoutEffect paint block timings.
• Refs Mutable Values: useRef mutable variables persistence, DOM elements referrals, forwardRef layouts components.
• Component Memoization Setups: useMemo value caching metrics, useCallback callback reference stabilization, memo custom comparators.
• React Virtual Lists: Virtual viewport allocations (react-window), saving DOM rendering resources workflows.
• Code Split Routing: lazy import loading layouts, Suspense boundary fallback pages setups.
• Context API Optimizations: Creating context providers, consumer re-render optimizations maps.
• Global State RTK: Redux Toolkit slice store setups, actions dispatch mapping, RTK Query cache rules.</t>
  </si>
  <si>
    <t>• TypeScript Typing Validation: Structural typing rules, interfaces vs types configurations overrides, union intersection checks.
• TypeScript Generic Parameters: Writing generic interfaces, generic functions constraints, utility type transformations.
• Strict Mode Compilation: strictNullChecks, noImplicitAny, noUnusedLocals configurations debugging in interviews.</t>
  </si>
  <si>
    <t>• Next.js App Router Structures: Pages Router directories vs App Router routing, RootLayout configurations.
• RSC Server Components: Server components rendering pipelines, client component use client directives boundaries.
• Server Actions Specs: Database updates via form actions, validation runs, hydration rules.
• NextAuth.js Setups: Session adapters, custom database schema mappings, OAuth providers configs.
• Enterprise Caching Architectures: Dedup requests caching, Data Cache, Full Route Cache, Router Cache pipelines.</t>
  </si>
  <si>
    <t>Topic</t>
  </si>
  <si>
    <t>Example ID</t>
  </si>
  <si>
    <t>Visual Style</t>
  </si>
  <si>
    <t>Concept Description</t>
  </si>
  <si>
    <t>File Path</t>
  </si>
  <si>
    <t>Diagram ID</t>
  </si>
  <si>
    <t>Visual Type</t>
  </si>
  <si>
    <t>Diagram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</si>
</sst>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9"/>
      <color rgb="FF595959"/>
      <name val="Segoe UI"/>
    </font>
    <font>
      <b/>
      <sz val="18"/>
      <color rgb="FF1B4F72"/>
      <name val="Segoe UI"/>
    </font>
    <font>
      <b/>
      <sz val="18"/>
      <color rgb="FF0E6251"/>
      <name val="Segoe UI"/>
    </font>
    <font>
      <b/>
      <sz val="18"/>
      <color rgb="FF7D6608"/>
      <name val="Segoe UI"/>
    </font>
    <font>
      <b/>
      <sz val="18"/>
      <color rgb="FF78281F"/>
      <name val="Segoe UI"/>
    </font>
    <font>
      <b/>
      <sz val="12"/>
      <color rgb="FF1F4E78"/>
      <name val="Segoe UI"/>
    </font>
    <font>
      <b/>
      <sz val="10"/>
      <color rgb="FFFFFFFF"/>
      <name val="Segoe UI"/>
    </font>
    <font>
      <b/>
      <sz val="10"/>
      <name val="Segoe UI"/>
    </font>
    <font>
      <sz val="10"/>
      <color rgb="FF1F4E78"/>
      <name val="Segoe UI"/>
    </font>
    <font>
      <b/>
      <sz val="10"/>
      <color rgb="FF1F4E78"/>
      <name val="Segoe UI"/>
    </font>
    <font>
      <sz val="10"/>
      <name val="Segoe UI"/>
    </font>
    <font>
      <sz val="10"/>
      <color rgb="FF004D40"/>
      <name val="Segoe UI"/>
    </font>
    <font>
      <b/>
      <sz val="10"/>
      <color rgb="FF004D40"/>
      <name val="Segoe UI"/>
    </font>
    <font>
      <sz val="10"/>
      <color rgb="FF263238"/>
      <name val="Segoe UI"/>
    </font>
    <font>
      <b/>
      <sz val="10"/>
      <color rgb="FF263238"/>
      <name val="Segoe UI"/>
    </font>
    <font>
      <sz val="10"/>
      <color rgb="FF5D4037"/>
      <name val="Segoe UI"/>
    </font>
    <font>
      <b/>
      <sz val="10"/>
      <color rgb="FF5D4037"/>
      <name val="Segoe UI"/>
    </font>
    <font>
      <sz val="10"/>
      <color rgb="FF4A148C"/>
      <name val="Segoe UI"/>
    </font>
    <font>
      <b/>
      <sz val="10"/>
      <color rgb="FF4A148C"/>
      <name val="Segoe UI"/>
    </font>
    <font>
      <sz val="9"/>
      <name val="Segoe UI"/>
    </font>
    <font>
      <b/>
      <sz val="9"/>
      <name val="Segoe UI"/>
    </font>
    <font>
      <b/>
      <sz val="11"/>
      <color rgb="FF1F4E78"/>
      <name val="Segoe UI"/>
    </font>
    <font>
      <i/>
      <sz val="10"/>
      <name val="Segoe UI"/>
    </font>
    <font>
      <b/>
      <sz val="9"/>
      <color rgb="FFFFFFFF"/>
      <name val="Segoe UI"/>
    </font>
    <font>
      <b/>
      <sz val="11"/>
      <color rgb="FFFFFFFF"/>
      <name val="Segoe UI"/>
    </font>
    <font>
      <b/>
      <sz val="11"/>
      <color rgb="FF004D40"/>
      <name val="Segoe UI"/>
    </font>
    <font>
      <b/>
      <sz val="11"/>
      <color rgb="FF263238"/>
      <name val="Segoe UI"/>
    </font>
    <font>
      <b/>
      <sz val="11"/>
      <color rgb="FF5D4037"/>
      <name val="Segoe UI"/>
    </font>
    <font>
      <b/>
      <sz val="11"/>
      <color rgb="FF4A148C"/>
      <name val="Segoe UI"/>
    </font>
    <font>
      <sz val="10"/>
      <color rgb="FF000000"/>
      <name val="Segoe UI"/>
    </font>
    <font>
      <b/>
      <sz val="14"/>
      <color rgb="FFFFFFFF"/>
      <name val="Segoe UI"/>
    </font>
    <font>
      <b/>
      <sz val="10"/>
      <color rgb="FF333333"/>
      <name val="Segoe UI"/>
    </font>
    <font>
      <sz val="9"/>
      <color rgb="FF000000"/>
      <name val="Segoe UI"/>
    </font>
  </fonts>
  <fills count="4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34495E"/>
        <bgColor rgb="FF34495E"/>
      </patternFill>
    </fill>
    <fill>
      <patternFill patternType="solid">
        <fgColor rgb="FFD9E1F2"/>
        <bgColor rgb="FFD9E1F2"/>
      </patternFill>
    </fill>
    <fill>
      <patternFill patternType="solid">
        <fgColor rgb="FFE0F2F1"/>
        <bgColor rgb="FFE0F2F1"/>
      </patternFill>
    </fill>
    <fill>
      <patternFill patternType="solid">
        <fgColor rgb="FFECEFF1"/>
        <bgColor rgb="FFECEFF1"/>
      </patternFill>
    </fill>
    <fill>
      <patternFill patternType="solid">
        <fgColor rgb="FFEFEBE9"/>
        <bgColor rgb="FFEFEBE9"/>
      </patternFill>
    </fill>
    <fill>
      <patternFill patternType="solid">
        <fgColor rgb="FFF3E5F5"/>
        <bgColor rgb="FFF3E5F5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F2F4F7"/>
        <bgColor rgb="FFF2F4F7"/>
      </patternFill>
    </fill>
    <fill>
      <patternFill patternType="solid">
        <fgColor rgb="FF57606F"/>
        <bgColor rgb="FF57606F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2F3542"/>
        <bgColor rgb="FF2F3542"/>
      </patternFill>
    </fill>
    <fill>
      <patternFill patternType="solid">
        <fgColor rgb="FFF0F7F7"/>
        <bgColor rgb="FFF0F7F7"/>
      </patternFill>
    </fill>
    <fill>
      <patternFill patternType="solid">
        <fgColor rgb="FF4B5563"/>
        <bgColor rgb="FF4B5563"/>
      </patternFill>
    </fill>
    <fill>
      <patternFill patternType="solid">
        <fgColor rgb="FFDDEBF7"/>
        <bgColor rgb="FFDDEBF7"/>
      </patternFill>
    </fill>
    <fill>
      <patternFill patternType="solid">
        <fgColor rgb="FF004D40"/>
        <bgColor rgb="FF004D40"/>
      </patternFill>
    </fill>
    <fill>
      <patternFill patternType="solid">
        <fgColor rgb="FFD0F0EC"/>
        <bgColor rgb="FFD0F0EC"/>
      </patternFill>
    </fill>
    <fill>
      <patternFill patternType="solid">
        <fgColor rgb="FF263238"/>
        <bgColor rgb="FF263238"/>
      </patternFill>
    </fill>
    <fill>
      <patternFill patternType="solid">
        <fgColor rgb="FFDFE4E7"/>
        <bgColor rgb="FFDFE4E7"/>
      </patternFill>
    </fill>
    <fill>
      <patternFill patternType="solid">
        <fgColor rgb="FF5D4037"/>
        <bgColor rgb="FF5D4037"/>
      </patternFill>
    </fill>
    <fill>
      <patternFill patternType="solid">
        <fgColor rgb="FFE6DFDC"/>
        <bgColor rgb="FFE6DFDC"/>
      </patternFill>
    </fill>
    <fill>
      <patternFill patternType="solid">
        <fgColor rgb="FF4A148C"/>
        <bgColor rgb="FF4A148C"/>
      </patternFill>
    </fill>
    <fill>
      <patternFill patternType="solid">
        <fgColor rgb="FFEAD7F1"/>
        <bgColor rgb="FFEAD7F1"/>
      </patternFill>
    </fill>
    <fill>
      <patternFill patternType="solid">
        <fgColor rgb="FF2E75B6"/>
        <bgColor rgb="FF2E75B6"/>
      </patternFill>
    </fill>
    <fill>
      <patternFill patternType="solid">
        <fgColor rgb="FFB4C6E7"/>
        <bgColor rgb="FFB4C6E7"/>
      </patternFill>
    </fill>
    <fill>
      <patternFill patternType="solid">
        <fgColor rgb="FFC6D9F1"/>
        <bgColor rgb="FFC6D9F1"/>
      </patternFill>
    </fill>
    <fill>
      <patternFill patternType="solid">
        <fgColor rgb="FF00695C"/>
        <bgColor rgb="FF00695C"/>
      </patternFill>
    </fill>
    <fill>
      <patternFill patternType="solid">
        <fgColor rgb="FFB2DFDB"/>
        <bgColor rgb="FFB2DFDB"/>
      </patternFill>
    </fill>
    <fill>
      <patternFill patternType="solid">
        <fgColor rgb="FF80CBC4"/>
        <bgColor rgb="FF80CBC4"/>
      </patternFill>
    </fill>
    <fill>
      <patternFill patternType="solid">
        <fgColor rgb="FF37474F"/>
        <bgColor rgb="FF37474F"/>
      </patternFill>
    </fill>
    <fill>
      <patternFill patternType="solid">
        <fgColor rgb="FFCFD8DC"/>
        <bgColor rgb="FFCFD8DC"/>
      </patternFill>
    </fill>
    <fill>
      <patternFill patternType="solid">
        <fgColor rgb="FFB0BEC5"/>
        <bgColor rgb="FFB0BEC5"/>
      </patternFill>
    </fill>
    <fill>
      <patternFill patternType="solid">
        <fgColor rgb="FF6D4C41"/>
        <bgColor rgb="FF6D4C41"/>
      </patternFill>
    </fill>
    <fill>
      <patternFill patternType="solid">
        <fgColor rgb="FFD7CCC8"/>
        <bgColor rgb="FFD7CCC8"/>
      </patternFill>
    </fill>
    <fill>
      <patternFill patternType="solid">
        <fgColor rgb="FFBCAAA4"/>
        <bgColor rgb="FFBCAAA4"/>
      </patternFill>
    </fill>
    <fill>
      <patternFill patternType="solid">
        <fgColor rgb="FF6A1B9A"/>
        <bgColor rgb="FF6A1B9A"/>
      </patternFill>
    </fill>
    <fill>
      <patternFill patternType="solid">
        <fgColor rgb="FFE1BEE7"/>
        <bgColor rgb="FFE1BEE7"/>
      </patternFill>
    </fill>
    <fill>
      <patternFill patternType="solid">
        <fgColor rgb="FFCE93D8"/>
        <bgColor rgb="FFCE93D8"/>
      </patternFill>
    </fill>
    <fill>
      <patternFill patternType="solid">
        <fgColor rgb="FFF3E5F5"/>
      </patternFill>
    </fill>
    <fill>
      <patternFill patternType="solid">
        <fgColor rgb="FF4A148C"/>
      </patternFill>
    </fill>
  </fills>
  <borders count="34">
    <border>
      <left/>
      <right/>
      <top/>
      <bottom/>
      <diagonal/>
    </border>
    <border>
      <left/>
      <right style="thin">
        <color rgb="FFAED6F1"/>
      </right>
      <top style="thin">
        <color rgb="FFAED6F1"/>
      </top>
      <bottom/>
      <diagonal/>
    </border>
    <border>
      <left/>
      <right style="thin">
        <color rgb="FFA3E4D7"/>
      </right>
      <top style="thin">
        <color rgb="FFA3E4D7"/>
      </top>
      <bottom/>
      <diagonal/>
    </border>
    <border>
      <left/>
      <right style="thin">
        <color rgb="FFF9E79F"/>
      </right>
      <top style="thin">
        <color rgb="FFF9E79F"/>
      </top>
      <bottom/>
      <diagonal/>
    </border>
    <border>
      <left/>
      <right style="thin">
        <color rgb="FFFADBD8"/>
      </right>
      <top style="thin">
        <color rgb="FFFADBD8"/>
      </top>
      <bottom/>
      <diagonal/>
    </border>
    <border>
      <left/>
      <right style="thin">
        <color rgb="FFAED6F1"/>
      </right>
      <top/>
      <bottom style="thin">
        <color rgb="FFAED6F1"/>
      </bottom>
      <diagonal/>
    </border>
    <border>
      <left/>
      <right style="thin">
        <color rgb="FFA3E4D7"/>
      </right>
      <top/>
      <bottom style="thin">
        <color rgb="FFA3E4D7"/>
      </bottom>
      <diagonal/>
    </border>
    <border>
      <left/>
      <right style="thin">
        <color rgb="FFF9E79F"/>
      </right>
      <top/>
      <bottom style="thin">
        <color rgb="FFF9E79F"/>
      </bottom>
      <diagonal/>
    </border>
    <border>
      <left/>
      <right style="thin">
        <color rgb="FFFADBD8"/>
      </right>
      <top/>
      <bottom style="thin">
        <color rgb="FFFADB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/>
      <top/>
      <bottom/>
      <diagonal/>
    </border>
    <border>
      <left/>
      <right style="thin">
        <color rgb="FFB0C4DE"/>
      </right>
      <top/>
      <bottom/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/>
      <diagonal/>
    </border>
    <border>
      <left style="thin">
        <color rgb="FFA3E4D7"/>
      </left>
      <right style="thin">
        <color rgb="FFA3E4D7"/>
      </right>
      <top style="thin">
        <color rgb="FFA3E4D7"/>
      </top>
      <bottom/>
      <diagonal/>
    </border>
    <border>
      <left style="thin">
        <color rgb="FFF9E79F"/>
      </left>
      <right style="thin">
        <color rgb="FFF9E79F"/>
      </right>
      <top style="thin">
        <color rgb="FFF9E79F"/>
      </top>
      <bottom/>
      <diagonal/>
    </border>
    <border>
      <left style="thin">
        <color rgb="FFFADBD8"/>
      </left>
      <right style="thin">
        <color rgb="FFFADBD8"/>
      </right>
      <top style="thin">
        <color rgb="FFFADBD8"/>
      </top>
      <bottom/>
      <diagonal/>
    </border>
    <border>
      <left style="thin">
        <color rgb="FFAED6F1"/>
      </left>
      <right style="thin">
        <color rgb="FFAED6F1"/>
      </right>
      <top/>
      <bottom style="thin">
        <color rgb="FFAED6F1"/>
      </bottom>
      <diagonal/>
    </border>
    <border>
      <left style="thin">
        <color rgb="FFA3E4D7"/>
      </left>
      <right style="thin">
        <color rgb="FFA3E4D7"/>
      </right>
      <top/>
      <bottom style="thin">
        <color rgb="FFA3E4D7"/>
      </bottom>
      <diagonal/>
    </border>
    <border>
      <left style="thin">
        <color rgb="FFF9E79F"/>
      </left>
      <right style="thin">
        <color rgb="FFF9E79F"/>
      </right>
      <top/>
      <bottom style="thin">
        <color rgb="FFF9E79F"/>
      </bottom>
      <diagonal/>
    </border>
    <border>
      <left style="thin">
        <color rgb="FFFADBD8"/>
      </left>
      <right style="thin">
        <color rgb="FFFADBD8"/>
      </right>
      <top/>
      <bottom style="thin">
        <color rgb="FFFADBD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7" fillId="0" borderId="0" xfId="0" applyFont="1"/>
    <xf numFmtId="0" fontId="8" fillId="7" borderId="9" xfId="0" applyFont="1" applyFill="1" applyBorder="1" applyAlignment="1">
      <alignment horizontal="center" vertical="center"/>
    </xf>
    <xf numFmtId="0" fontId="9" fillId="0" borderId="0" xfId="0" applyFont="1"/>
    <xf numFmtId="0" fontId="10" fillId="8" borderId="9" xfId="0" applyFont="1" applyFill="1" applyBorder="1" applyAlignment="1">
      <alignment horizontal="left" vertical="center"/>
    </xf>
    <xf numFmtId="0" fontId="10" fillId="8" borderId="9" xfId="0" applyFont="1" applyFill="1" applyBorder="1" applyAlignment="1">
      <alignment horizontal="center" vertical="center"/>
    </xf>
    <xf numFmtId="164" fontId="11" fillId="8" borderId="9" xfId="0" applyNumberFormat="1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13" fillId="9" borderId="9" xfId="0" applyFont="1" applyFill="1" applyBorder="1" applyAlignment="1">
      <alignment horizontal="left" vertical="center"/>
    </xf>
    <xf numFmtId="0" fontId="13" fillId="9" borderId="9" xfId="0" applyFont="1" applyFill="1" applyBorder="1" applyAlignment="1">
      <alignment horizontal="center" vertical="center"/>
    </xf>
    <xf numFmtId="164" fontId="14" fillId="9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left" vertical="center"/>
    </xf>
    <xf numFmtId="0" fontId="15" fillId="10" borderId="9" xfId="0" applyFont="1" applyFill="1" applyBorder="1" applyAlignment="1">
      <alignment horizontal="center" vertical="center"/>
    </xf>
    <xf numFmtId="164" fontId="16" fillId="10" borderId="9" xfId="0" applyNumberFormat="1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left" vertical="center"/>
    </xf>
    <xf numFmtId="0" fontId="17" fillId="11" borderId="9" xfId="0" applyFont="1" applyFill="1" applyBorder="1" applyAlignment="1">
      <alignment horizontal="center" vertical="center"/>
    </xf>
    <xf numFmtId="164" fontId="18" fillId="11" borderId="9" xfId="0" applyNumberFormat="1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left" vertical="center"/>
    </xf>
    <xf numFmtId="0" fontId="19" fillId="12" borderId="9" xfId="0" applyFont="1" applyFill="1" applyBorder="1" applyAlignment="1">
      <alignment horizontal="center" vertical="center"/>
    </xf>
    <xf numFmtId="164" fontId="20" fillId="12" borderId="9" xfId="0" applyNumberFormat="1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left" vertical="center"/>
    </xf>
    <xf numFmtId="0" fontId="9" fillId="13" borderId="10" xfId="0" applyFont="1" applyFill="1" applyBorder="1" applyAlignment="1">
      <alignment horizontal="center" vertical="center"/>
    </xf>
    <xf numFmtId="164" fontId="9" fillId="13" borderId="10" xfId="0" applyNumberFormat="1" applyFont="1" applyFill="1" applyBorder="1" applyAlignment="1">
      <alignment horizontal="center" vertical="center"/>
    </xf>
    <xf numFmtId="0" fontId="23" fillId="0" borderId="0" xfId="0" applyFont="1"/>
    <xf numFmtId="0" fontId="25" fillId="16" borderId="9" xfId="0" applyFont="1" applyFill="1" applyBorder="1" applyAlignment="1">
      <alignment horizontal="center" vertical="center"/>
    </xf>
    <xf numFmtId="0" fontId="21" fillId="17" borderId="9" xfId="0" applyFont="1" applyFill="1" applyBorder="1" applyAlignment="1">
      <alignment horizontal="center" vertical="center"/>
    </xf>
    <xf numFmtId="0" fontId="21" fillId="17" borderId="9" xfId="0" applyFont="1" applyFill="1" applyBorder="1" applyAlignment="1">
      <alignment horizontal="left" vertical="center"/>
    </xf>
    <xf numFmtId="0" fontId="21" fillId="18" borderId="9" xfId="0" applyFont="1" applyFill="1" applyBorder="1" applyAlignment="1">
      <alignment horizontal="center" vertical="center"/>
    </xf>
    <xf numFmtId="0" fontId="21" fillId="18" borderId="9" xfId="0" applyFont="1" applyFill="1" applyBorder="1" applyAlignment="1">
      <alignment horizontal="left" vertical="center"/>
    </xf>
    <xf numFmtId="0" fontId="8" fillId="19" borderId="9" xfId="0" applyFont="1" applyFill="1" applyBorder="1" applyAlignment="1">
      <alignment horizontal="center" vertical="center"/>
    </xf>
    <xf numFmtId="0" fontId="21" fillId="20" borderId="9" xfId="0" applyFont="1" applyFill="1" applyBorder="1" applyAlignment="1">
      <alignment horizontal="left" vertical="center"/>
    </xf>
    <xf numFmtId="0" fontId="21" fillId="20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6" fillId="19" borderId="9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27" fillId="9" borderId="9" xfId="0" applyFont="1" applyFill="1" applyBorder="1" applyAlignment="1">
      <alignment horizontal="center" vertical="center" wrapText="1"/>
    </xf>
    <xf numFmtId="0" fontId="28" fillId="10" borderId="9" xfId="0" applyFont="1" applyFill="1" applyBorder="1" applyAlignment="1">
      <alignment horizontal="center" vertical="center" wrapText="1"/>
    </xf>
    <xf numFmtId="0" fontId="29" fillId="11" borderId="9" xfId="0" applyFont="1" applyFill="1" applyBorder="1" applyAlignment="1">
      <alignment horizontal="center" vertical="center" wrapText="1"/>
    </xf>
    <xf numFmtId="0" fontId="30" fillId="12" borderId="9" xfId="0" applyFont="1" applyFill="1" applyBorder="1" applyAlignment="1">
      <alignment horizontal="center" vertical="center" wrapText="1"/>
    </xf>
    <xf numFmtId="0" fontId="8" fillId="21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9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left" vertical="top" wrapText="1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top" wrapText="1"/>
    </xf>
    <xf numFmtId="0" fontId="12" fillId="26" borderId="9" xfId="0" applyFont="1" applyFill="1" applyBorder="1" applyAlignment="1">
      <alignment horizontal="center" vertical="center"/>
    </xf>
    <xf numFmtId="0" fontId="12" fillId="26" borderId="9" xfId="0" applyFont="1" applyFill="1" applyBorder="1" applyAlignment="1">
      <alignment horizontal="left" vertical="top" wrapText="1"/>
    </xf>
    <xf numFmtId="0" fontId="12" fillId="28" borderId="9" xfId="0" applyFont="1" applyFill="1" applyBorder="1" applyAlignment="1">
      <alignment horizontal="center" vertical="center"/>
    </xf>
    <xf numFmtId="0" fontId="12" fillId="28" borderId="9" xfId="0" applyFont="1" applyFill="1" applyBorder="1" applyAlignment="1">
      <alignment horizontal="left" vertical="top" wrapText="1"/>
    </xf>
    <xf numFmtId="0" fontId="8" fillId="31" borderId="9" xfId="0" applyFont="1" applyFill="1" applyBorder="1" applyAlignment="1">
      <alignment horizontal="center" vertical="center"/>
    </xf>
    <xf numFmtId="0" fontId="33" fillId="32" borderId="9" xfId="0" applyFont="1" applyFill="1" applyBorder="1" applyAlignment="1">
      <alignment horizontal="center" vertical="center"/>
    </xf>
    <xf numFmtId="0" fontId="34" fillId="22" borderId="9" xfId="0" applyFont="1" applyFill="1" applyBorder="1" applyAlignment="1">
      <alignment horizontal="left" vertical="top" wrapText="1"/>
    </xf>
    <xf numFmtId="0" fontId="34" fillId="18" borderId="9" xfId="0" applyFont="1" applyFill="1" applyBorder="1" applyAlignment="1">
      <alignment horizontal="left" vertical="top" wrapText="1"/>
    </xf>
    <xf numFmtId="0" fontId="33" fillId="32" borderId="9" xfId="0" applyFont="1" applyFill="1" applyBorder="1" applyAlignment="1">
      <alignment horizontal="center" vertical="center" wrapText="1"/>
    </xf>
    <xf numFmtId="0" fontId="34" fillId="33" borderId="9" xfId="0" applyFont="1" applyFill="1" applyBorder="1" applyAlignment="1">
      <alignment horizontal="left" vertical="top" wrapText="1"/>
    </xf>
    <xf numFmtId="0" fontId="8" fillId="34" borderId="9" xfId="0" applyFont="1" applyFill="1" applyBorder="1" applyAlignment="1">
      <alignment horizontal="center" vertical="center"/>
    </xf>
    <xf numFmtId="0" fontId="33" fillId="35" borderId="9" xfId="0" applyFont="1" applyFill="1" applyBorder="1" applyAlignment="1">
      <alignment horizontal="center" vertical="center"/>
    </xf>
    <xf numFmtId="0" fontId="34" fillId="24" borderId="9" xfId="0" applyFont="1" applyFill="1" applyBorder="1" applyAlignment="1">
      <alignment horizontal="left" vertical="top" wrapText="1"/>
    </xf>
    <xf numFmtId="0" fontId="33" fillId="35" borderId="9" xfId="0" applyFont="1" applyFill="1" applyBorder="1" applyAlignment="1">
      <alignment horizontal="center" vertical="center" wrapText="1"/>
    </xf>
    <xf numFmtId="0" fontId="34" fillId="36" borderId="9" xfId="0" applyFont="1" applyFill="1" applyBorder="1" applyAlignment="1">
      <alignment horizontal="left" vertical="top" wrapText="1"/>
    </xf>
    <xf numFmtId="0" fontId="8" fillId="37" borderId="9" xfId="0" applyFont="1" applyFill="1" applyBorder="1" applyAlignment="1">
      <alignment horizontal="center" vertical="center"/>
    </xf>
    <xf numFmtId="0" fontId="33" fillId="38" borderId="9" xfId="0" applyFont="1" applyFill="1" applyBorder="1" applyAlignment="1">
      <alignment horizontal="center" vertical="center"/>
    </xf>
    <xf numFmtId="0" fontId="34" fillId="26" borderId="9" xfId="0" applyFont="1" applyFill="1" applyBorder="1" applyAlignment="1">
      <alignment horizontal="left" vertical="top" wrapText="1"/>
    </xf>
    <xf numFmtId="0" fontId="33" fillId="38" borderId="9" xfId="0" applyFont="1" applyFill="1" applyBorder="1" applyAlignment="1">
      <alignment horizontal="center" vertical="center" wrapText="1"/>
    </xf>
    <xf numFmtId="0" fontId="34" fillId="39" borderId="9" xfId="0" applyFont="1" applyFill="1" applyBorder="1" applyAlignment="1">
      <alignment horizontal="left" vertical="top" wrapText="1"/>
    </xf>
    <xf numFmtId="0" fontId="8" fillId="40" borderId="9" xfId="0" applyFont="1" applyFill="1" applyBorder="1" applyAlignment="1">
      <alignment horizontal="center" vertical="center"/>
    </xf>
    <xf numFmtId="0" fontId="33" fillId="41" borderId="9" xfId="0" applyFont="1" applyFill="1" applyBorder="1" applyAlignment="1">
      <alignment horizontal="center" vertical="center"/>
    </xf>
    <xf numFmtId="0" fontId="34" fillId="28" borderId="9" xfId="0" applyFont="1" applyFill="1" applyBorder="1" applyAlignment="1">
      <alignment horizontal="left" vertical="top" wrapText="1"/>
    </xf>
    <xf numFmtId="0" fontId="33" fillId="41" borderId="9" xfId="0" applyFont="1" applyFill="1" applyBorder="1" applyAlignment="1">
      <alignment horizontal="center" vertical="center" wrapText="1"/>
    </xf>
    <xf numFmtId="0" fontId="34" fillId="42" borderId="9" xfId="0" applyFont="1" applyFill="1" applyBorder="1" applyAlignment="1">
      <alignment horizontal="left" vertical="top" wrapText="1"/>
    </xf>
    <xf numFmtId="0" fontId="8" fillId="43" borderId="9" xfId="0" applyFont="1" applyFill="1" applyBorder="1" applyAlignment="1">
      <alignment horizontal="center" vertical="center"/>
    </xf>
    <xf numFmtId="0" fontId="33" fillId="44" borderId="9" xfId="0" applyFont="1" applyFill="1" applyBorder="1" applyAlignment="1">
      <alignment horizontal="center" vertical="center"/>
    </xf>
    <xf numFmtId="0" fontId="34" fillId="30" borderId="9" xfId="0" applyFont="1" applyFill="1" applyBorder="1" applyAlignment="1">
      <alignment horizontal="left" vertical="top" wrapText="1"/>
    </xf>
    <xf numFmtId="0" fontId="33" fillId="44" borderId="9" xfId="0" applyFont="1" applyFill="1" applyBorder="1" applyAlignment="1">
      <alignment horizontal="center" vertical="center" wrapText="1"/>
    </xf>
    <xf numFmtId="0" fontId="34" fillId="45" borderId="9" xfId="0" applyFont="1" applyFill="1" applyBorder="1" applyAlignment="1">
      <alignment horizontal="left" vertical="top" wrapText="1"/>
    </xf>
    <xf numFmtId="0" fontId="31" fillId="18" borderId="31" xfId="0" applyFont="1" applyFill="1" applyBorder="1" applyAlignment="1">
      <alignment horizontal="left" vertical="center"/>
    </xf>
    <xf numFmtId="0" fontId="12" fillId="18" borderId="31" xfId="0" applyFont="1" applyFill="1" applyBorder="1" applyAlignment="1">
      <alignment horizontal="left" vertical="center"/>
    </xf>
    <xf numFmtId="0" fontId="0" fillId="0" borderId="31" xfId="0" applyBorder="1"/>
    <xf numFmtId="0" fontId="12" fillId="0" borderId="31" xfId="0" applyFont="1" applyBorder="1" applyAlignment="1">
      <alignment horizontal="left" vertical="center"/>
    </xf>
    <xf numFmtId="0" fontId="12" fillId="0" borderId="0" xfId="0" applyFont="1"/>
    <xf numFmtId="0" fontId="9" fillId="0" borderId="9" xfId="0" applyFont="1" applyBorder="1"/>
    <xf numFmtId="0" fontId="9" fillId="0" borderId="9" xfId="0" applyFont="1" applyBorder="1" applyAlignment="1">
      <alignment horizontal="center"/>
    </xf>
    <xf numFmtId="0" fontId="12" fillId="30" borderId="31" xfId="0" applyFont="1" applyFill="1" applyBorder="1" applyAlignment="1">
      <alignment horizontal="left" vertical="center"/>
    </xf>
    <xf numFmtId="0" fontId="20" fillId="46" borderId="31" xfId="0" applyFont="1" applyFill="1" applyBorder="1" applyAlignment="1">
      <alignment horizontal="center" vertical="center" wrapText="1"/>
    </xf>
    <xf numFmtId="0" fontId="21" fillId="30" borderId="31" xfId="0" applyFont="1" applyFill="1" applyBorder="1" applyAlignment="1">
      <alignment horizontal="left" vertical="top" wrapText="1"/>
    </xf>
    <xf numFmtId="0" fontId="21" fillId="0" borderId="31" xfId="0" applyFont="1" applyBorder="1" applyAlignment="1">
      <alignment horizontal="left" vertical="top" wrapText="1"/>
    </xf>
    <xf numFmtId="0" fontId="21" fillId="18" borderId="31" xfId="0" applyFont="1" applyFill="1" applyBorder="1" applyAlignment="1">
      <alignment horizontal="left" vertical="top" wrapText="1"/>
    </xf>
    <xf numFmtId="0" fontId="21" fillId="45" borderId="31" xfId="0" applyFont="1" applyFill="1" applyBorder="1" applyAlignment="1">
      <alignment horizontal="left" vertical="top" wrapText="1"/>
    </xf>
    <xf numFmtId="0" fontId="20" fillId="46" borderId="9" xfId="0" applyFont="1" applyFill="1" applyBorder="1" applyAlignment="1">
      <alignment horizontal="center" vertical="center" wrapText="1"/>
    </xf>
    <xf numFmtId="0" fontId="26" fillId="47" borderId="31" xfId="0" applyFont="1" applyFill="1" applyBorder="1" applyAlignment="1">
      <alignment horizontal="center" vertical="center"/>
    </xf>
    <xf numFmtId="0" fontId="32" fillId="23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5" borderId="25" xfId="0" applyFont="1" applyFill="1" applyBorder="1" applyAlignment="1">
      <alignment horizontal="center" vertical="center"/>
    </xf>
    <xf numFmtId="0" fontId="0" fillId="0" borderId="3" xfId="0" applyBorder="1"/>
    <xf numFmtId="0" fontId="22" fillId="1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4" fillId="15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6" borderId="26" xfId="0" applyFont="1" applyFill="1" applyBorder="1" applyAlignment="1">
      <alignment horizontal="center" vertical="center"/>
    </xf>
    <xf numFmtId="0" fontId="0" fillId="0" borderId="4" xfId="0" applyBorder="1"/>
    <xf numFmtId="0" fontId="21" fillId="14" borderId="9" xfId="0" applyFont="1" applyFill="1" applyBorder="1" applyAlignment="1">
      <alignment horizontal="left" vertical="center"/>
    </xf>
    <xf numFmtId="0" fontId="8" fillId="19" borderId="9" xfId="0" applyFont="1" applyFill="1" applyBorder="1" applyAlignment="1">
      <alignment horizontal="center" vertical="center"/>
    </xf>
    <xf numFmtId="1" fontId="5" fillId="5" borderId="29" xfId="0" applyNumberFormat="1" applyFont="1" applyFill="1" applyBorder="1" applyAlignment="1">
      <alignment horizontal="center" vertical="center"/>
    </xf>
    <xf numFmtId="0" fontId="0" fillId="0" borderId="7" xfId="0" applyBorder="1"/>
    <xf numFmtId="0" fontId="2" fillId="4" borderId="24" xfId="0" applyFont="1" applyFill="1" applyBorder="1" applyAlignment="1">
      <alignment horizontal="center" vertical="center"/>
    </xf>
    <xf numFmtId="0" fontId="0" fillId="0" borderId="2" xfId="0" applyBorder="1"/>
    <xf numFmtId="0" fontId="8" fillId="7" borderId="9" xfId="0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/>
    </xf>
    <xf numFmtId="0" fontId="0" fillId="0" borderId="5" xfId="0" applyBorder="1"/>
    <xf numFmtId="1" fontId="4" fillId="4" borderId="28" xfId="0" applyNumberFormat="1" applyFont="1" applyFill="1" applyBorder="1" applyAlignment="1">
      <alignment horizontal="center" vertical="center"/>
    </xf>
    <xf numFmtId="0" fontId="0" fillId="0" borderId="6" xfId="0" applyBorder="1"/>
    <xf numFmtId="1" fontId="6" fillId="6" borderId="30" xfId="0" applyNumberFormat="1" applyFont="1" applyFill="1" applyBorder="1" applyAlignment="1">
      <alignment horizontal="center" vertical="center"/>
    </xf>
    <xf numFmtId="0" fontId="0" fillId="0" borderId="8" xfId="0" applyBorder="1"/>
    <xf numFmtId="0" fontId="8" fillId="2" borderId="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" xfId="0" applyBorder="1"/>
    <xf numFmtId="0" fontId="8" fillId="16" borderId="31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12" fillId="30" borderId="31" xfId="0" applyFont="1" applyFill="1" applyBorder="1" applyAlignment="1">
      <alignment horizontal="center" vertical="center"/>
    </xf>
    <xf numFmtId="0" fontId="12" fillId="26" borderId="9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2" fillId="28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26" fillId="29" borderId="9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26" fillId="25" borderId="9" xfId="0" applyFont="1" applyFill="1" applyBorder="1" applyAlignment="1">
      <alignment horizontal="center" vertical="center"/>
    </xf>
    <xf numFmtId="0" fontId="26" fillId="23" borderId="9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7" borderId="9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2" fillId="27" borderId="9" xfId="0" applyFont="1" applyFill="1" applyBorder="1" applyAlignment="1">
      <alignment horizontal="center" vertical="center"/>
    </xf>
    <xf numFmtId="0" fontId="32" fillId="47" borderId="9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  <dxf>
      <font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color rgb="FF9C0006"/>
        <name val="Segoe UI"/>
      </font>
      <fill>
        <patternFill patternType="solid">
          <fgColor rgb="FFFFD2D2"/>
          <bgColor rgb="FFFFD2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0"/>
  <sheetViews>
    <sheetView zoomScaleNormal="100" workbookViewId="0">
      <selection activeCell="G21" sqref="G21"/>
    </sheetView>
  </sheetViews>
  <sheetFormatPr defaultRowHeight="14.45" customHeight="1" x14ac:dyDescent="0.25"/>
  <cols>
    <col min="1" max="1" width="3" customWidth="1"/>
    <col min="2" max="2" width="25" customWidth="1"/>
    <col min="3" max="3" width="15" customWidth="1"/>
    <col min="4" max="5" width="18" customWidth="1"/>
    <col min="6" max="6" width="5" customWidth="1"/>
    <col min="7" max="20" width="16" customWidth="1"/>
  </cols>
  <sheetData>
    <row r="1" spans="2:22" ht="15" x14ac:dyDescent="0.25">
      <c r="B1" s="99" t="s">
        <v>43</v>
      </c>
      <c r="C1" s="100"/>
      <c r="D1" s="100"/>
      <c r="E1" s="100"/>
      <c r="F1" s="100"/>
      <c r="G1" s="100"/>
      <c r="H1" s="100"/>
      <c r="I1" s="100"/>
    </row>
    <row r="2" spans="2:22" ht="15" x14ac:dyDescent="0.25">
      <c r="B2" s="100"/>
      <c r="C2" s="100"/>
      <c r="D2" s="100"/>
      <c r="E2" s="100"/>
      <c r="F2" s="100"/>
      <c r="G2" s="100"/>
      <c r="H2" s="100"/>
      <c r="I2" s="100"/>
    </row>
    <row r="4" spans="2:22" ht="15" x14ac:dyDescent="0.25">
      <c r="B4" s="125" t="s">
        <v>44</v>
      </c>
      <c r="C4" s="126"/>
      <c r="D4" s="115" t="s">
        <v>45</v>
      </c>
      <c r="E4" s="116"/>
      <c r="F4" s="96" t="s">
        <v>46</v>
      </c>
      <c r="G4" s="97"/>
      <c r="H4" s="109" t="s">
        <v>47</v>
      </c>
      <c r="I4" s="110"/>
    </row>
    <row r="5" spans="2:22" ht="27" customHeight="1" x14ac:dyDescent="0.25">
      <c r="B5" s="118">
        <f>COUNTIF(Tracker!D:D, "Completed") / 138</f>
        <v>0</v>
      </c>
      <c r="C5" s="119"/>
      <c r="D5" s="120">
        <f>COUNTIF(Tracker!D:D, "Completed")</f>
        <v>0</v>
      </c>
      <c r="E5" s="121"/>
      <c r="F5" s="113">
        <f>COUNTIF(Tracker!D:D, "In Progress")</f>
        <v>0</v>
      </c>
      <c r="G5" s="114"/>
      <c r="H5" s="122">
        <f>COUNTIF(Tracker!D:D, "Not Started")</f>
        <v>138</v>
      </c>
      <c r="I5" s="123"/>
    </row>
    <row r="7" spans="2:22" ht="14.45" customHeight="1" x14ac:dyDescent="0.3">
      <c r="B7" s="1" t="s">
        <v>48</v>
      </c>
    </row>
    <row r="9" spans="2:22" ht="14.45" customHeight="1" x14ac:dyDescent="0.25">
      <c r="B9" s="2" t="s">
        <v>49</v>
      </c>
      <c r="C9" s="2" t="s">
        <v>50</v>
      </c>
      <c r="D9" s="2" t="s">
        <v>45</v>
      </c>
      <c r="E9" s="2" t="s">
        <v>51</v>
      </c>
      <c r="U9" s="3" t="s">
        <v>52</v>
      </c>
      <c r="V9" s="3" t="s">
        <v>53</v>
      </c>
    </row>
    <row r="10" spans="2:22" ht="14.45" customHeight="1" x14ac:dyDescent="0.25">
      <c r="B10" s="4" t="s">
        <v>54</v>
      </c>
      <c r="C10" s="5">
        <f>COUNTA(Tracker!C3:C32)</f>
        <v>30</v>
      </c>
      <c r="D10" s="5">
        <f>COUNTIF(Tracker!D3:D32, "Completed")</f>
        <v>0</v>
      </c>
      <c r="E10" s="6">
        <f t="shared" ref="E10:E15" si="0">D10/C10</f>
        <v>0</v>
      </c>
      <c r="U10" s="7" t="s">
        <v>55</v>
      </c>
      <c r="V10" s="8">
        <f>COUNTIF(Tracker!D:D, "Completed")</f>
        <v>0</v>
      </c>
    </row>
    <row r="11" spans="2:22" ht="14.45" customHeight="1" x14ac:dyDescent="0.25">
      <c r="B11" s="9" t="s">
        <v>56</v>
      </c>
      <c r="C11" s="10">
        <f>COUNTA(Tracker!C36:C65)</f>
        <v>30</v>
      </c>
      <c r="D11" s="10">
        <f>COUNTIF(Tracker!D36:D65, "Completed")</f>
        <v>0</v>
      </c>
      <c r="E11" s="11">
        <f t="shared" si="0"/>
        <v>0</v>
      </c>
      <c r="U11" s="7" t="s">
        <v>57</v>
      </c>
      <c r="V11" s="8">
        <f>COUNTIF(Tracker!D:D, "In Progress")</f>
        <v>0</v>
      </c>
    </row>
    <row r="12" spans="2:22" ht="14.45" customHeight="1" x14ac:dyDescent="0.25">
      <c r="B12" s="12" t="s">
        <v>58</v>
      </c>
      <c r="C12" s="13">
        <f>COUNTA(Tracker!C69:C92)</f>
        <v>24</v>
      </c>
      <c r="D12" s="13">
        <f>COUNTIF(Tracker!D69:D92, "Completed")</f>
        <v>0</v>
      </c>
      <c r="E12" s="14">
        <f t="shared" si="0"/>
        <v>0</v>
      </c>
      <c r="U12" s="7" t="s">
        <v>59</v>
      </c>
      <c r="V12" s="8">
        <f>COUNTIF(Tracker!D:D, "Not Started")</f>
        <v>138</v>
      </c>
    </row>
    <row r="13" spans="2:22" ht="15" customHeight="1" x14ac:dyDescent="0.25">
      <c r="B13" s="15" t="s">
        <v>60</v>
      </c>
      <c r="C13" s="16">
        <f>COUNTA(Tracker!C96:C107)</f>
        <v>12</v>
      </c>
      <c r="D13" s="16">
        <f>COUNTIF(Tracker!D96:D107, "Completed")</f>
        <v>0</v>
      </c>
      <c r="E13" s="17">
        <f t="shared" si="0"/>
        <v>0</v>
      </c>
    </row>
    <row r="14" spans="2:22" ht="15" customHeight="1" x14ac:dyDescent="0.25">
      <c r="B14" s="18" t="s">
        <v>61</v>
      </c>
      <c r="C14" s="19">
        <f>COUNTA(Tracker!C111:C152)</f>
        <v>42</v>
      </c>
      <c r="D14" s="19">
        <f>COUNTIF(Tracker!D111:D152, "Completed")</f>
        <v>0</v>
      </c>
      <c r="E14" s="20">
        <f t="shared" si="0"/>
        <v>0</v>
      </c>
    </row>
    <row r="15" spans="2:22" ht="15" customHeight="1" x14ac:dyDescent="0.25">
      <c r="B15" s="21" t="s">
        <v>62</v>
      </c>
      <c r="C15" s="22">
        <f>SUM(C10:C14)</f>
        <v>138</v>
      </c>
      <c r="D15" s="22">
        <f>SUM(D10:D14)</f>
        <v>0</v>
      </c>
      <c r="E15" s="23">
        <f t="shared" si="0"/>
        <v>0</v>
      </c>
    </row>
    <row r="17" spans="2:5" ht="14.45" customHeight="1" x14ac:dyDescent="0.25">
      <c r="B17" s="117" t="s">
        <v>63</v>
      </c>
      <c r="C17" s="94"/>
      <c r="D17" s="94"/>
      <c r="E17" s="95"/>
    </row>
    <row r="18" spans="2:5" ht="15" x14ac:dyDescent="0.25">
      <c r="B18" s="111" t="s">
        <v>64</v>
      </c>
      <c r="C18" s="95"/>
      <c r="D18" s="98">
        <v>23</v>
      </c>
      <c r="E18" s="95"/>
    </row>
    <row r="19" spans="2:5" ht="15" x14ac:dyDescent="0.25">
      <c r="B19" s="111" t="s">
        <v>65</v>
      </c>
      <c r="C19" s="95"/>
      <c r="D19" s="98">
        <f>COUNTIF(Tracker!J2:J24, 1)</f>
        <v>0</v>
      </c>
      <c r="E19" s="95"/>
    </row>
    <row r="20" spans="2:5" ht="15" x14ac:dyDescent="0.25">
      <c r="B20" s="111" t="s">
        <v>66</v>
      </c>
      <c r="C20" s="95"/>
      <c r="D20" s="98">
        <f>COUNTIFS(Tracker!J2:J24, "&gt;=0.8", Tracker!J2:J24, "&lt;1")</f>
        <v>0</v>
      </c>
      <c r="E20" s="95"/>
    </row>
    <row r="21" spans="2:5" ht="15" x14ac:dyDescent="0.25">
      <c r="B21" s="111" t="s">
        <v>67</v>
      </c>
      <c r="C21" s="95"/>
      <c r="D21" s="98">
        <f>COUNTIF(Tracker!J2:J24, 0)</f>
        <v>23</v>
      </c>
      <c r="E21" s="95"/>
    </row>
    <row r="23" spans="2:5" ht="16.899999999999999" customHeight="1" x14ac:dyDescent="0.3">
      <c r="B23" s="24" t="s">
        <v>68</v>
      </c>
    </row>
    <row r="24" spans="2:5" ht="15" x14ac:dyDescent="0.25">
      <c r="B24" s="101" t="s">
        <v>69</v>
      </c>
      <c r="C24" s="102"/>
      <c r="D24" s="102"/>
      <c r="E24" s="103"/>
    </row>
    <row r="25" spans="2:5" ht="15" x14ac:dyDescent="0.25">
      <c r="B25" s="104"/>
      <c r="C25" s="100"/>
      <c r="D25" s="100"/>
      <c r="E25" s="105"/>
    </row>
    <row r="26" spans="2:5" ht="15" x14ac:dyDescent="0.25">
      <c r="B26" s="106"/>
      <c r="C26" s="107"/>
      <c r="D26" s="107"/>
      <c r="E26" s="108"/>
    </row>
    <row r="28" spans="2:5" ht="16.899999999999999" customHeight="1" x14ac:dyDescent="0.25">
      <c r="B28" s="124" t="s">
        <v>70</v>
      </c>
      <c r="C28" s="94"/>
      <c r="D28" s="94"/>
      <c r="E28" s="95"/>
    </row>
    <row r="29" spans="2:5" ht="19.899999999999999" customHeight="1" x14ac:dyDescent="0.25">
      <c r="B29" s="25" t="s">
        <v>71</v>
      </c>
      <c r="C29" s="25" t="s">
        <v>72</v>
      </c>
      <c r="D29" s="25" t="s">
        <v>73</v>
      </c>
      <c r="E29" s="25" t="s">
        <v>74</v>
      </c>
    </row>
    <row r="30" spans="2:5" ht="18" customHeight="1" x14ac:dyDescent="0.25">
      <c r="B30" s="26" t="s">
        <v>75</v>
      </c>
      <c r="C30" s="27" t="s">
        <v>76</v>
      </c>
      <c r="D30" s="26" t="s">
        <v>77</v>
      </c>
      <c r="E30" s="27" t="s">
        <v>78</v>
      </c>
    </row>
    <row r="31" spans="2:5" ht="18" customHeight="1" x14ac:dyDescent="0.25">
      <c r="B31" s="28" t="s">
        <v>79</v>
      </c>
      <c r="C31" s="29" t="s">
        <v>80</v>
      </c>
      <c r="D31" s="28" t="s">
        <v>77</v>
      </c>
      <c r="E31" s="29" t="s">
        <v>81</v>
      </c>
    </row>
    <row r="32" spans="2:5" ht="18" customHeight="1" x14ac:dyDescent="0.25">
      <c r="B32" s="26" t="s">
        <v>82</v>
      </c>
      <c r="C32" s="27" t="s">
        <v>83</v>
      </c>
      <c r="D32" s="26" t="s">
        <v>77</v>
      </c>
      <c r="E32" s="27" t="s">
        <v>84</v>
      </c>
    </row>
    <row r="33" spans="2:5" ht="18" customHeight="1" x14ac:dyDescent="0.25">
      <c r="B33" s="28" t="s">
        <v>85</v>
      </c>
      <c r="C33" s="29" t="s">
        <v>86</v>
      </c>
      <c r="D33" s="28" t="s">
        <v>77</v>
      </c>
      <c r="E33" s="29" t="s">
        <v>87</v>
      </c>
    </row>
    <row r="35" spans="2:5" ht="16.899999999999999" customHeight="1" x14ac:dyDescent="0.25">
      <c r="B35" s="112" t="s">
        <v>88</v>
      </c>
      <c r="C35" s="94"/>
      <c r="D35" s="94"/>
      <c r="E35" s="95"/>
    </row>
    <row r="36" spans="2:5" ht="19.899999999999999" customHeight="1" x14ac:dyDescent="0.25">
      <c r="B36" s="25" t="s">
        <v>89</v>
      </c>
      <c r="C36" s="25" t="s">
        <v>90</v>
      </c>
      <c r="D36" s="25" t="s">
        <v>91</v>
      </c>
      <c r="E36" s="25" t="s">
        <v>92</v>
      </c>
    </row>
    <row r="37" spans="2:5" ht="18" customHeight="1" x14ac:dyDescent="0.25">
      <c r="B37" s="31" t="s">
        <v>93</v>
      </c>
      <c r="C37" s="31" t="s">
        <v>94</v>
      </c>
      <c r="D37" s="32" t="s">
        <v>95</v>
      </c>
      <c r="E37" s="32" t="s">
        <v>96</v>
      </c>
    </row>
    <row r="38" spans="2:5" ht="18" customHeight="1" x14ac:dyDescent="0.25">
      <c r="B38" s="29" t="s">
        <v>97</v>
      </c>
      <c r="C38" s="29" t="s">
        <v>98</v>
      </c>
      <c r="D38" s="28" t="s">
        <v>99</v>
      </c>
      <c r="E38" s="28" t="s">
        <v>100</v>
      </c>
    </row>
    <row r="39" spans="2:5" ht="18" customHeight="1" x14ac:dyDescent="0.25">
      <c r="B39" s="31" t="s">
        <v>101</v>
      </c>
      <c r="C39" s="31" t="s">
        <v>102</v>
      </c>
      <c r="D39" s="32" t="s">
        <v>103</v>
      </c>
      <c r="E39" s="32" t="s">
        <v>96</v>
      </c>
    </row>
    <row r="40" spans="2:5" ht="18" customHeight="1" x14ac:dyDescent="0.25">
      <c r="B40" s="29" t="s">
        <v>104</v>
      </c>
      <c r="C40" s="29" t="s">
        <v>105</v>
      </c>
      <c r="D40" s="28" t="s">
        <v>106</v>
      </c>
      <c r="E40" s="28" t="s">
        <v>107</v>
      </c>
    </row>
  </sheetData>
  <mergeCells count="21">
    <mergeCell ref="B35:E35"/>
    <mergeCell ref="F5:G5"/>
    <mergeCell ref="B19:C19"/>
    <mergeCell ref="D4:E4"/>
    <mergeCell ref="D18:E18"/>
    <mergeCell ref="B17:E17"/>
    <mergeCell ref="B5:C5"/>
    <mergeCell ref="B20:C20"/>
    <mergeCell ref="D5:E5"/>
    <mergeCell ref="B28:E28"/>
    <mergeCell ref="B4:C4"/>
    <mergeCell ref="F4:G4"/>
    <mergeCell ref="D20:E20"/>
    <mergeCell ref="D19:E19"/>
    <mergeCell ref="B1:I2"/>
    <mergeCell ref="B24:E26"/>
    <mergeCell ref="H4:I4"/>
    <mergeCell ref="B18:C18"/>
    <mergeCell ref="D21:E21"/>
    <mergeCell ref="B21:C21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selection activeCell="D3" sqref="D3"/>
    </sheetView>
  </sheetViews>
  <sheetFormatPr defaultColWidth="25.5703125" defaultRowHeight="14.45" customHeight="1" x14ac:dyDescent="0.25"/>
  <cols>
    <col min="1" max="1" width="20" style="33" customWidth="1"/>
    <col min="2" max="2" width="24" style="33" customWidth="1"/>
    <col min="3" max="6" width="24" customWidth="1"/>
    <col min="7" max="15" width="15.5703125" style="33" customWidth="1"/>
    <col min="16" max="16" width="14.28515625" style="33" customWidth="1"/>
    <col min="17" max="17" width="25.5703125" style="33" customWidth="1"/>
    <col min="18" max="16384" width="25.5703125" style="33"/>
  </cols>
  <sheetData>
    <row r="1" spans="1:6" ht="25.9" customHeight="1" x14ac:dyDescent="0.25">
      <c r="A1" s="34" t="s">
        <v>49</v>
      </c>
      <c r="B1" s="35" t="s">
        <v>54</v>
      </c>
      <c r="C1" s="36" t="s">
        <v>56</v>
      </c>
      <c r="D1" s="37" t="s">
        <v>58</v>
      </c>
      <c r="E1" s="38" t="s">
        <v>60</v>
      </c>
      <c r="F1" s="39" t="s">
        <v>61</v>
      </c>
    </row>
    <row r="2" spans="1:6" ht="22.15" customHeight="1" x14ac:dyDescent="0.25">
      <c r="A2" s="127" t="s">
        <v>108</v>
      </c>
      <c r="B2" s="78" t="s">
        <v>109</v>
      </c>
      <c r="C2" s="78" t="s">
        <v>2</v>
      </c>
      <c r="D2" s="78" t="s">
        <v>110</v>
      </c>
      <c r="E2" s="78" t="s">
        <v>111</v>
      </c>
      <c r="F2" s="79" t="s">
        <v>112</v>
      </c>
    </row>
    <row r="3" spans="1:6" ht="18.600000000000001" customHeight="1" x14ac:dyDescent="0.25">
      <c r="A3" s="128"/>
      <c r="B3" s="78" t="s">
        <v>113</v>
      </c>
      <c r="C3" s="78" t="s">
        <v>3</v>
      </c>
      <c r="D3" s="78" t="s">
        <v>114</v>
      </c>
      <c r="E3" s="78" t="s">
        <v>115</v>
      </c>
      <c r="F3" s="79" t="s">
        <v>116</v>
      </c>
    </row>
    <row r="4" spans="1:6" ht="18.600000000000001" customHeight="1" x14ac:dyDescent="0.25">
      <c r="A4" s="128"/>
      <c r="B4" s="78" t="s">
        <v>117</v>
      </c>
      <c r="C4" s="78" t="s">
        <v>4</v>
      </c>
      <c r="D4" s="78" t="s">
        <v>118</v>
      </c>
      <c r="E4" s="78"/>
      <c r="F4" s="79" t="s">
        <v>119</v>
      </c>
    </row>
    <row r="5" spans="1:6" ht="18.600000000000001" customHeight="1" x14ac:dyDescent="0.25">
      <c r="A5" s="128"/>
      <c r="B5" s="78" t="s">
        <v>120</v>
      </c>
      <c r="C5" s="78" t="s">
        <v>5</v>
      </c>
      <c r="D5" s="78" t="s">
        <v>121</v>
      </c>
      <c r="E5" s="78"/>
      <c r="F5" s="79" t="s">
        <v>122</v>
      </c>
    </row>
    <row r="6" spans="1:6" ht="18.600000000000001" customHeight="1" x14ac:dyDescent="0.25">
      <c r="A6" s="128"/>
      <c r="B6" s="78" t="s">
        <v>123</v>
      </c>
      <c r="C6" s="78" t="s">
        <v>6</v>
      </c>
      <c r="D6" s="78"/>
      <c r="E6" s="78"/>
      <c r="F6" s="79" t="s">
        <v>124</v>
      </c>
    </row>
    <row r="7" spans="1:6" ht="15" customHeight="1" x14ac:dyDescent="0.25">
      <c r="A7" s="128"/>
      <c r="B7" s="78"/>
      <c r="C7" s="78"/>
      <c r="D7" s="78"/>
      <c r="E7" s="78"/>
      <c r="F7" s="79" t="s">
        <v>125</v>
      </c>
    </row>
    <row r="8" spans="1:6" ht="15" x14ac:dyDescent="0.25">
      <c r="A8" s="129"/>
      <c r="B8" s="80"/>
      <c r="C8" s="80"/>
      <c r="D8" s="80"/>
      <c r="E8" s="80"/>
      <c r="F8" s="81" t="s">
        <v>126</v>
      </c>
    </row>
  </sheetData>
  <mergeCells count="1">
    <mergeCell ref="A2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49"/>
  <sheetViews>
    <sheetView tabSelected="1" zoomScale="120" zoomScaleNormal="120" workbookViewId="0">
      <selection activeCell="I35" sqref="I35"/>
    </sheetView>
  </sheetViews>
  <sheetFormatPr defaultRowHeight="14.45" customHeight="1" x14ac:dyDescent="0.25"/>
  <cols>
    <col min="1" max="1" width="20" customWidth="1"/>
    <col min="2" max="2" width="24" customWidth="1"/>
    <col min="3" max="5" width="15" customWidth="1"/>
    <col min="6" max="6" width="35" customWidth="1"/>
    <col min="7" max="7" width="13.7109375" customWidth="1"/>
    <col min="8" max="9" width="24" customWidth="1"/>
    <col min="10" max="14" width="15" customWidth="1"/>
  </cols>
  <sheetData>
    <row r="1" spans="1:11" ht="24" customHeight="1" x14ac:dyDescent="0.25">
      <c r="A1" s="141" t="s">
        <v>127</v>
      </c>
      <c r="B1" s="94"/>
      <c r="C1" s="94"/>
      <c r="D1" s="94"/>
      <c r="E1" s="94"/>
      <c r="F1" s="95"/>
      <c r="H1" s="30" t="s">
        <v>128</v>
      </c>
      <c r="I1" s="30" t="s">
        <v>129</v>
      </c>
      <c r="J1" s="30" t="s">
        <v>130</v>
      </c>
      <c r="K1" s="30" t="s">
        <v>131</v>
      </c>
    </row>
    <row r="2" spans="1:11" ht="19.899999999999999" customHeight="1" x14ac:dyDescent="0.25">
      <c r="A2" s="40" t="s">
        <v>129</v>
      </c>
      <c r="B2" s="40" t="s">
        <v>128</v>
      </c>
      <c r="C2" s="40" t="s">
        <v>1</v>
      </c>
      <c r="D2" s="40" t="s">
        <v>52</v>
      </c>
      <c r="E2" s="40" t="s">
        <v>132</v>
      </c>
      <c r="F2" s="40" t="s">
        <v>133</v>
      </c>
      <c r="H2" s="41" t="s">
        <v>109</v>
      </c>
      <c r="I2" s="41" t="s">
        <v>54</v>
      </c>
      <c r="J2" s="42">
        <f>COUNTIF(D3:D8, "Completed") / 6</f>
        <v>0</v>
      </c>
      <c r="K2" s="43" t="str">
        <f t="shared" ref="K2:K24" si="0">REPT("■", ROUND(J2*10,0)) &amp; REPT("□", 10-ROUND(J2*10,0))</f>
        <v>□□□□□□□□□□</v>
      </c>
    </row>
    <row r="3" spans="1:11" ht="15" customHeight="1" x14ac:dyDescent="0.25">
      <c r="A3" s="136" t="s">
        <v>54</v>
      </c>
      <c r="B3" s="136" t="s">
        <v>109</v>
      </c>
      <c r="C3" s="44" t="s">
        <v>7</v>
      </c>
      <c r="D3" s="44" t="s">
        <v>59</v>
      </c>
      <c r="E3" s="44" t="s">
        <v>134</v>
      </c>
      <c r="F3" s="45"/>
      <c r="H3" s="41" t="s">
        <v>113</v>
      </c>
      <c r="I3" s="41" t="s">
        <v>54</v>
      </c>
      <c r="J3" s="42">
        <f>COUNTIF(D9:D14, "Completed") / 6</f>
        <v>0</v>
      </c>
      <c r="K3" s="43" t="str">
        <f t="shared" si="0"/>
        <v>□□□□□□□□□□</v>
      </c>
    </row>
    <row r="4" spans="1:11" ht="15" customHeight="1" x14ac:dyDescent="0.25">
      <c r="A4" s="132"/>
      <c r="B4" s="132"/>
      <c r="C4" s="44" t="s">
        <v>13</v>
      </c>
      <c r="D4" s="44" t="s">
        <v>59</v>
      </c>
      <c r="E4" s="44" t="s">
        <v>134</v>
      </c>
      <c r="F4" s="45"/>
      <c r="H4" s="41" t="s">
        <v>117</v>
      </c>
      <c r="I4" s="41" t="s">
        <v>54</v>
      </c>
      <c r="J4" s="42">
        <f>COUNTIF(D15:D20, "Completed") / 6</f>
        <v>0</v>
      </c>
      <c r="K4" s="43" t="str">
        <f t="shared" si="0"/>
        <v>□□□□□□□□□□</v>
      </c>
    </row>
    <row r="5" spans="1:11" ht="15" customHeight="1" x14ac:dyDescent="0.25">
      <c r="A5" s="132"/>
      <c r="B5" s="132"/>
      <c r="C5" s="44" t="s">
        <v>19</v>
      </c>
      <c r="D5" s="44" t="s">
        <v>59</v>
      </c>
      <c r="E5" s="44" t="s">
        <v>134</v>
      </c>
      <c r="F5" s="45"/>
      <c r="H5" s="41" t="s">
        <v>120</v>
      </c>
      <c r="I5" s="41" t="s">
        <v>54</v>
      </c>
      <c r="J5" s="42">
        <f>COUNTIF(D21:D26, "Completed") / 6</f>
        <v>0</v>
      </c>
      <c r="K5" s="43" t="str">
        <f t="shared" si="0"/>
        <v>□□□□□□□□□□</v>
      </c>
    </row>
    <row r="6" spans="1:11" ht="15" customHeight="1" x14ac:dyDescent="0.25">
      <c r="A6" s="132"/>
      <c r="B6" s="132"/>
      <c r="C6" s="44" t="s">
        <v>25</v>
      </c>
      <c r="D6" s="44" t="s">
        <v>59</v>
      </c>
      <c r="E6" s="44" t="s">
        <v>134</v>
      </c>
      <c r="F6" s="45"/>
      <c r="H6" s="41" t="s">
        <v>123</v>
      </c>
      <c r="I6" s="41" t="s">
        <v>54</v>
      </c>
      <c r="J6" s="42">
        <f>COUNTIF(D27:D32, "Completed") / 6</f>
        <v>0</v>
      </c>
      <c r="K6" s="43" t="str">
        <f t="shared" si="0"/>
        <v>□□□□□□□□□□</v>
      </c>
    </row>
    <row r="7" spans="1:11" ht="15" customHeight="1" x14ac:dyDescent="0.25">
      <c r="A7" s="132"/>
      <c r="B7" s="132"/>
      <c r="C7" s="44" t="s">
        <v>31</v>
      </c>
      <c r="D7" s="44" t="s">
        <v>59</v>
      </c>
      <c r="E7" s="44" t="s">
        <v>134</v>
      </c>
      <c r="F7" s="45"/>
      <c r="H7" s="41" t="s">
        <v>2</v>
      </c>
      <c r="I7" s="41" t="s">
        <v>56</v>
      </c>
      <c r="J7" s="42">
        <f>COUNTIF(D36:D41, "Completed") / 6</f>
        <v>0</v>
      </c>
      <c r="K7" s="43" t="str">
        <f t="shared" si="0"/>
        <v>□□□□□□□□□□</v>
      </c>
    </row>
    <row r="8" spans="1:11" ht="15" customHeight="1" x14ac:dyDescent="0.25">
      <c r="A8" s="132"/>
      <c r="B8" s="133"/>
      <c r="C8" s="44" t="s">
        <v>37</v>
      </c>
      <c r="D8" s="44" t="s">
        <v>59</v>
      </c>
      <c r="E8" s="44" t="s">
        <v>134</v>
      </c>
      <c r="F8" s="45"/>
      <c r="H8" s="41" t="s">
        <v>3</v>
      </c>
      <c r="I8" s="41" t="s">
        <v>56</v>
      </c>
      <c r="J8" s="42">
        <f>COUNTIF(D42:D47, "Completed") / 6</f>
        <v>0</v>
      </c>
      <c r="K8" s="43" t="str">
        <f t="shared" si="0"/>
        <v>□□□□□□□□□□</v>
      </c>
    </row>
    <row r="9" spans="1:11" ht="15" customHeight="1" x14ac:dyDescent="0.25">
      <c r="A9" s="132"/>
      <c r="B9" s="136" t="s">
        <v>113</v>
      </c>
      <c r="C9" s="44" t="s">
        <v>7</v>
      </c>
      <c r="D9" s="44" t="s">
        <v>59</v>
      </c>
      <c r="E9" s="44" t="s">
        <v>134</v>
      </c>
      <c r="F9" s="45"/>
      <c r="H9" s="41" t="s">
        <v>4</v>
      </c>
      <c r="I9" s="41" t="s">
        <v>56</v>
      </c>
      <c r="J9" s="42">
        <f>COUNTIF(D48:D53, "Completed") / 6</f>
        <v>0</v>
      </c>
      <c r="K9" s="43" t="str">
        <f t="shared" si="0"/>
        <v>□□□□□□□□□□</v>
      </c>
    </row>
    <row r="10" spans="1:11" ht="15" customHeight="1" x14ac:dyDescent="0.25">
      <c r="A10" s="132"/>
      <c r="B10" s="132"/>
      <c r="C10" s="44" t="s">
        <v>13</v>
      </c>
      <c r="D10" s="44" t="s">
        <v>59</v>
      </c>
      <c r="E10" s="44" t="s">
        <v>134</v>
      </c>
      <c r="F10" s="45"/>
      <c r="H10" s="41" t="s">
        <v>5</v>
      </c>
      <c r="I10" s="41" t="s">
        <v>56</v>
      </c>
      <c r="J10" s="42">
        <f>COUNTIF(D54:D59, "Completed") / 6</f>
        <v>0</v>
      </c>
      <c r="K10" s="43" t="str">
        <f t="shared" si="0"/>
        <v>□□□□□□□□□□</v>
      </c>
    </row>
    <row r="11" spans="1:11" ht="15" customHeight="1" x14ac:dyDescent="0.25">
      <c r="A11" s="132"/>
      <c r="B11" s="132"/>
      <c r="C11" s="44" t="s">
        <v>19</v>
      </c>
      <c r="D11" s="44" t="s">
        <v>59</v>
      </c>
      <c r="E11" s="44" t="s">
        <v>134</v>
      </c>
      <c r="F11" s="45"/>
      <c r="H11" s="41" t="s">
        <v>6</v>
      </c>
      <c r="I11" s="41" t="s">
        <v>56</v>
      </c>
      <c r="J11" s="42">
        <f>COUNTIF(D60:D65, "Completed") / 6</f>
        <v>0</v>
      </c>
      <c r="K11" s="43" t="str">
        <f t="shared" si="0"/>
        <v>□□□□□□□□□□</v>
      </c>
    </row>
    <row r="12" spans="1:11" ht="15" customHeight="1" x14ac:dyDescent="0.25">
      <c r="A12" s="132"/>
      <c r="B12" s="132"/>
      <c r="C12" s="44" t="s">
        <v>25</v>
      </c>
      <c r="D12" s="44" t="s">
        <v>59</v>
      </c>
      <c r="E12" s="44" t="s">
        <v>134</v>
      </c>
      <c r="F12" s="45"/>
      <c r="H12" s="41" t="s">
        <v>110</v>
      </c>
      <c r="I12" s="41" t="s">
        <v>58</v>
      </c>
      <c r="J12" s="42">
        <f>COUNTIF(D69:D74, "Completed") / 6</f>
        <v>0</v>
      </c>
      <c r="K12" s="43" t="str">
        <f t="shared" si="0"/>
        <v>□□□□□□□□□□</v>
      </c>
    </row>
    <row r="13" spans="1:11" ht="15" customHeight="1" x14ac:dyDescent="0.25">
      <c r="A13" s="132"/>
      <c r="B13" s="132"/>
      <c r="C13" s="44" t="s">
        <v>31</v>
      </c>
      <c r="D13" s="44" t="s">
        <v>59</v>
      </c>
      <c r="E13" s="44" t="s">
        <v>134</v>
      </c>
      <c r="F13" s="45"/>
      <c r="H13" s="41" t="s">
        <v>114</v>
      </c>
      <c r="I13" s="41" t="s">
        <v>58</v>
      </c>
      <c r="J13" s="42">
        <f>COUNTIF(D75:D80, "Completed") / 6</f>
        <v>0</v>
      </c>
      <c r="K13" s="43" t="str">
        <f t="shared" si="0"/>
        <v>□□□□□□□□□□</v>
      </c>
    </row>
    <row r="14" spans="1:11" ht="15" customHeight="1" x14ac:dyDescent="0.25">
      <c r="A14" s="132"/>
      <c r="B14" s="133"/>
      <c r="C14" s="44" t="s">
        <v>37</v>
      </c>
      <c r="D14" s="44" t="s">
        <v>59</v>
      </c>
      <c r="E14" s="44" t="s">
        <v>134</v>
      </c>
      <c r="F14" s="45"/>
      <c r="H14" s="41" t="s">
        <v>118</v>
      </c>
      <c r="I14" s="41" t="s">
        <v>58</v>
      </c>
      <c r="J14" s="42">
        <f>COUNTIF(D81:D86, "Completed") / 6</f>
        <v>0</v>
      </c>
      <c r="K14" s="43" t="str">
        <f t="shared" si="0"/>
        <v>□□□□□□□□□□</v>
      </c>
    </row>
    <row r="15" spans="1:11" ht="15" customHeight="1" x14ac:dyDescent="0.25">
      <c r="A15" s="132"/>
      <c r="B15" s="136" t="s">
        <v>117</v>
      </c>
      <c r="C15" s="44" t="s">
        <v>7</v>
      </c>
      <c r="D15" s="44" t="s">
        <v>59</v>
      </c>
      <c r="E15" s="44" t="s">
        <v>134</v>
      </c>
      <c r="F15" s="45"/>
      <c r="H15" s="41" t="s">
        <v>121</v>
      </c>
      <c r="I15" s="41" t="s">
        <v>58</v>
      </c>
      <c r="J15" s="42">
        <f>COUNTIF(D87:D92, "Completed") / 6</f>
        <v>0</v>
      </c>
      <c r="K15" s="43" t="str">
        <f t="shared" si="0"/>
        <v>□□□□□□□□□□</v>
      </c>
    </row>
    <row r="16" spans="1:11" ht="15" customHeight="1" x14ac:dyDescent="0.25">
      <c r="A16" s="132"/>
      <c r="B16" s="132"/>
      <c r="C16" s="44" t="s">
        <v>13</v>
      </c>
      <c r="D16" s="44" t="s">
        <v>59</v>
      </c>
      <c r="E16" s="44" t="s">
        <v>134</v>
      </c>
      <c r="F16" s="45"/>
      <c r="H16" s="41" t="s">
        <v>111</v>
      </c>
      <c r="I16" s="41" t="s">
        <v>60</v>
      </c>
      <c r="J16" s="42">
        <f>COUNTIF(D96:D101, "Completed") / 6</f>
        <v>0</v>
      </c>
      <c r="K16" s="43" t="str">
        <f t="shared" si="0"/>
        <v>□□□□□□□□□□</v>
      </c>
    </row>
    <row r="17" spans="1:11" ht="15" customHeight="1" x14ac:dyDescent="0.25">
      <c r="A17" s="132"/>
      <c r="B17" s="132"/>
      <c r="C17" s="44" t="s">
        <v>19</v>
      </c>
      <c r="D17" s="44" t="s">
        <v>59</v>
      </c>
      <c r="E17" s="44" t="s">
        <v>134</v>
      </c>
      <c r="F17" s="45"/>
      <c r="H17" s="41" t="s">
        <v>115</v>
      </c>
      <c r="I17" s="41" t="s">
        <v>60</v>
      </c>
      <c r="J17" s="42">
        <f>COUNTIF(D102:D107, "Completed") / 6</f>
        <v>0</v>
      </c>
      <c r="K17" s="43" t="str">
        <f t="shared" si="0"/>
        <v>□□□□□□□□□□</v>
      </c>
    </row>
    <row r="18" spans="1:11" ht="15" customHeight="1" x14ac:dyDescent="0.25">
      <c r="A18" s="132"/>
      <c r="B18" s="132"/>
      <c r="C18" s="44" t="s">
        <v>25</v>
      </c>
      <c r="D18" s="44" t="s">
        <v>59</v>
      </c>
      <c r="E18" s="44" t="s">
        <v>134</v>
      </c>
      <c r="F18" s="45"/>
      <c r="H18" s="41" t="s">
        <v>112</v>
      </c>
      <c r="I18" s="41" t="s">
        <v>61</v>
      </c>
      <c r="J18" s="42">
        <f>COUNTIF(D111:D116, "Completed") / 6</f>
        <v>0</v>
      </c>
      <c r="K18" s="43" t="str">
        <f t="shared" si="0"/>
        <v>□□□□□□□□□□</v>
      </c>
    </row>
    <row r="19" spans="1:11" ht="15" customHeight="1" x14ac:dyDescent="0.25">
      <c r="A19" s="132"/>
      <c r="B19" s="132"/>
      <c r="C19" s="44" t="s">
        <v>31</v>
      </c>
      <c r="D19" s="44" t="s">
        <v>59</v>
      </c>
      <c r="E19" s="44" t="s">
        <v>134</v>
      </c>
      <c r="F19" s="45"/>
      <c r="H19" s="41" t="s">
        <v>116</v>
      </c>
      <c r="I19" s="41" t="s">
        <v>61</v>
      </c>
      <c r="J19" s="42">
        <f>COUNTIF(D117:D122, "Completed") / 6</f>
        <v>0</v>
      </c>
      <c r="K19" s="43" t="str">
        <f t="shared" si="0"/>
        <v>□□□□□□□□□□</v>
      </c>
    </row>
    <row r="20" spans="1:11" ht="15" customHeight="1" x14ac:dyDescent="0.25">
      <c r="A20" s="132"/>
      <c r="B20" s="133"/>
      <c r="C20" s="44" t="s">
        <v>37</v>
      </c>
      <c r="D20" s="44" t="s">
        <v>59</v>
      </c>
      <c r="E20" s="44" t="s">
        <v>134</v>
      </c>
      <c r="F20" s="45"/>
      <c r="H20" s="41" t="s">
        <v>119</v>
      </c>
      <c r="I20" s="41" t="s">
        <v>61</v>
      </c>
      <c r="J20" s="42">
        <f>COUNTIF(D123:D128, "Completed") / 6</f>
        <v>0</v>
      </c>
      <c r="K20" s="43" t="str">
        <f t="shared" si="0"/>
        <v>□□□□□□□□□□</v>
      </c>
    </row>
    <row r="21" spans="1:11" ht="15" customHeight="1" x14ac:dyDescent="0.25">
      <c r="A21" s="132"/>
      <c r="B21" s="136" t="s">
        <v>120</v>
      </c>
      <c r="C21" s="44" t="s">
        <v>7</v>
      </c>
      <c r="D21" s="44" t="s">
        <v>59</v>
      </c>
      <c r="E21" s="44" t="s">
        <v>134</v>
      </c>
      <c r="F21" s="45"/>
      <c r="H21" s="41" t="s">
        <v>122</v>
      </c>
      <c r="I21" s="41" t="s">
        <v>61</v>
      </c>
      <c r="J21" s="42">
        <f>COUNTIF(D129:D134, "Completed") / 6</f>
        <v>0</v>
      </c>
      <c r="K21" s="43" t="str">
        <f t="shared" si="0"/>
        <v>□□□□□□□□□□</v>
      </c>
    </row>
    <row r="22" spans="1:11" ht="15" customHeight="1" x14ac:dyDescent="0.25">
      <c r="A22" s="132"/>
      <c r="B22" s="132"/>
      <c r="C22" s="44" t="s">
        <v>13</v>
      </c>
      <c r="D22" s="44" t="s">
        <v>59</v>
      </c>
      <c r="E22" s="44" t="s">
        <v>134</v>
      </c>
      <c r="F22" s="45"/>
      <c r="H22" s="41" t="s">
        <v>124</v>
      </c>
      <c r="I22" s="41" t="s">
        <v>61</v>
      </c>
      <c r="J22" s="42">
        <f>COUNTIF(D135:D140, "Completed") / 6</f>
        <v>0</v>
      </c>
      <c r="K22" s="43" t="str">
        <f t="shared" si="0"/>
        <v>□□□□□□□□□□</v>
      </c>
    </row>
    <row r="23" spans="1:11" ht="15" customHeight="1" x14ac:dyDescent="0.25">
      <c r="A23" s="132"/>
      <c r="B23" s="132"/>
      <c r="C23" s="44" t="s">
        <v>19</v>
      </c>
      <c r="D23" s="44" t="s">
        <v>59</v>
      </c>
      <c r="E23" s="44" t="s">
        <v>134</v>
      </c>
      <c r="F23" s="45"/>
      <c r="H23" s="41" t="s">
        <v>125</v>
      </c>
      <c r="I23" s="41" t="s">
        <v>61</v>
      </c>
      <c r="J23" s="42">
        <f>COUNTIF(D141:D146, "Completed") / 6</f>
        <v>0</v>
      </c>
      <c r="K23" s="43" t="str">
        <f t="shared" si="0"/>
        <v>□□□□□□□□□□</v>
      </c>
    </row>
    <row r="24" spans="1:11" ht="14.45" customHeight="1" x14ac:dyDescent="0.25">
      <c r="A24" s="132"/>
      <c r="B24" s="132"/>
      <c r="C24" s="44" t="s">
        <v>25</v>
      </c>
      <c r="D24" s="44" t="s">
        <v>59</v>
      </c>
      <c r="E24" s="44" t="s">
        <v>134</v>
      </c>
      <c r="F24" s="45"/>
      <c r="H24" s="82" t="s">
        <v>126</v>
      </c>
      <c r="I24" s="82" t="s">
        <v>61</v>
      </c>
      <c r="J24" s="82">
        <f>COUNTIF(D147:D152, "Completed") / 6</f>
        <v>0</v>
      </c>
      <c r="K24" s="82" t="str">
        <f t="shared" si="0"/>
        <v>□□□□□□□□□□</v>
      </c>
    </row>
    <row r="25" spans="1:11" ht="14.45" customHeight="1" x14ac:dyDescent="0.25">
      <c r="A25" s="132"/>
      <c r="B25" s="132"/>
      <c r="C25" s="44" t="s">
        <v>31</v>
      </c>
      <c r="D25" s="44" t="s">
        <v>59</v>
      </c>
      <c r="E25" s="44" t="s">
        <v>134</v>
      </c>
      <c r="F25" s="45"/>
      <c r="H25" s="83" t="s">
        <v>52</v>
      </c>
      <c r="I25" s="84" t="s">
        <v>53</v>
      </c>
    </row>
    <row r="26" spans="1:11" ht="14.45" customHeight="1" x14ac:dyDescent="0.25">
      <c r="A26" s="132"/>
      <c r="B26" s="133"/>
      <c r="C26" s="44" t="s">
        <v>37</v>
      </c>
      <c r="D26" s="44" t="s">
        <v>59</v>
      </c>
      <c r="E26" s="44" t="s">
        <v>134</v>
      </c>
      <c r="F26" s="45"/>
      <c r="H26" s="7" t="s">
        <v>55</v>
      </c>
      <c r="I26" s="8">
        <f>COUNTIF(D:D, "Completed")</f>
        <v>0</v>
      </c>
    </row>
    <row r="27" spans="1:11" ht="14.45" customHeight="1" x14ac:dyDescent="0.25">
      <c r="A27" s="132"/>
      <c r="B27" s="136" t="s">
        <v>123</v>
      </c>
      <c r="C27" s="44" t="s">
        <v>7</v>
      </c>
      <c r="D27" s="44" t="s">
        <v>59</v>
      </c>
      <c r="E27" s="44" t="s">
        <v>134</v>
      </c>
      <c r="F27" s="45"/>
      <c r="H27" s="7" t="s">
        <v>57</v>
      </c>
      <c r="I27" s="8">
        <f>COUNTIF(D:D, "In Progress")</f>
        <v>0</v>
      </c>
    </row>
    <row r="28" spans="1:11" ht="15" customHeight="1" x14ac:dyDescent="0.25">
      <c r="A28" s="132"/>
      <c r="B28" s="132"/>
      <c r="C28" s="44" t="s">
        <v>13</v>
      </c>
      <c r="D28" s="44" t="s">
        <v>59</v>
      </c>
      <c r="E28" s="44" t="s">
        <v>134</v>
      </c>
      <c r="F28" s="45"/>
      <c r="H28" s="82" t="s">
        <v>59</v>
      </c>
      <c r="I28" s="82">
        <f>COUNTIF(D:D, "Not Started")</f>
        <v>138</v>
      </c>
    </row>
    <row r="29" spans="1:11" ht="15" customHeight="1" x14ac:dyDescent="0.25">
      <c r="A29" s="132"/>
      <c r="B29" s="132"/>
      <c r="C29" s="44" t="s">
        <v>19</v>
      </c>
      <c r="D29" s="44" t="s">
        <v>59</v>
      </c>
      <c r="E29" s="44" t="s">
        <v>134</v>
      </c>
      <c r="F29" s="45"/>
    </row>
    <row r="30" spans="1:11" ht="15" customHeight="1" x14ac:dyDescent="0.25">
      <c r="A30" s="132"/>
      <c r="B30" s="132"/>
      <c r="C30" s="44" t="s">
        <v>25</v>
      </c>
      <c r="D30" s="44" t="s">
        <v>59</v>
      </c>
      <c r="E30" s="44" t="s">
        <v>134</v>
      </c>
      <c r="F30" s="45"/>
    </row>
    <row r="31" spans="1:11" ht="15" customHeight="1" x14ac:dyDescent="0.25">
      <c r="A31" s="132"/>
      <c r="B31" s="132"/>
      <c r="C31" s="44" t="s">
        <v>31</v>
      </c>
      <c r="D31" s="44" t="s">
        <v>59</v>
      </c>
      <c r="E31" s="44" t="s">
        <v>134</v>
      </c>
      <c r="F31" s="45"/>
    </row>
    <row r="32" spans="1:11" ht="15" customHeight="1" x14ac:dyDescent="0.25">
      <c r="A32" s="133"/>
      <c r="B32" s="133"/>
      <c r="C32" s="44" t="s">
        <v>37</v>
      </c>
      <c r="D32" s="44" t="s">
        <v>59</v>
      </c>
      <c r="E32" s="44" t="s">
        <v>134</v>
      </c>
      <c r="F32" s="45"/>
    </row>
    <row r="33" spans="1:6" ht="15" customHeight="1" x14ac:dyDescent="0.25"/>
    <row r="34" spans="1:6" ht="24" customHeight="1" x14ac:dyDescent="0.25">
      <c r="A34" s="140" t="s">
        <v>135</v>
      </c>
      <c r="B34" s="94"/>
      <c r="C34" s="94"/>
      <c r="D34" s="94"/>
      <c r="E34" s="94"/>
      <c r="F34" s="95"/>
    </row>
    <row r="35" spans="1:6" ht="19.899999999999999" customHeight="1" x14ac:dyDescent="0.25">
      <c r="A35" s="40" t="s">
        <v>129</v>
      </c>
      <c r="B35" s="40" t="s">
        <v>128</v>
      </c>
      <c r="C35" s="40" t="s">
        <v>1</v>
      </c>
      <c r="D35" s="40" t="s">
        <v>52</v>
      </c>
      <c r="E35" s="40" t="s">
        <v>132</v>
      </c>
      <c r="F35" s="40" t="s">
        <v>133</v>
      </c>
    </row>
    <row r="36" spans="1:6" ht="15" customHeight="1" x14ac:dyDescent="0.25">
      <c r="A36" s="135" t="s">
        <v>56</v>
      </c>
      <c r="B36" s="135" t="s">
        <v>2</v>
      </c>
      <c r="C36" s="46" t="s">
        <v>7</v>
      </c>
      <c r="D36" s="46" t="s">
        <v>59</v>
      </c>
      <c r="E36" s="46" t="s">
        <v>134</v>
      </c>
      <c r="F36" s="47"/>
    </row>
    <row r="37" spans="1:6" ht="15" customHeight="1" x14ac:dyDescent="0.25">
      <c r="A37" s="132"/>
      <c r="B37" s="132"/>
      <c r="C37" s="46" t="s">
        <v>13</v>
      </c>
      <c r="D37" s="46" t="s">
        <v>59</v>
      </c>
      <c r="E37" s="46" t="s">
        <v>134</v>
      </c>
      <c r="F37" s="47"/>
    </row>
    <row r="38" spans="1:6" ht="15" customHeight="1" x14ac:dyDescent="0.25">
      <c r="A38" s="132"/>
      <c r="B38" s="132"/>
      <c r="C38" s="46" t="s">
        <v>19</v>
      </c>
      <c r="D38" s="46" t="s">
        <v>59</v>
      </c>
      <c r="E38" s="46" t="s">
        <v>134</v>
      </c>
      <c r="F38" s="47"/>
    </row>
    <row r="39" spans="1:6" ht="15" customHeight="1" x14ac:dyDescent="0.25">
      <c r="A39" s="132"/>
      <c r="B39" s="132"/>
      <c r="C39" s="46" t="s">
        <v>25</v>
      </c>
      <c r="D39" s="46" t="s">
        <v>59</v>
      </c>
      <c r="E39" s="46" t="s">
        <v>134</v>
      </c>
      <c r="F39" s="47"/>
    </row>
    <row r="40" spans="1:6" ht="15" customHeight="1" x14ac:dyDescent="0.25">
      <c r="A40" s="132"/>
      <c r="B40" s="132"/>
      <c r="C40" s="46" t="s">
        <v>31</v>
      </c>
      <c r="D40" s="46" t="s">
        <v>59</v>
      </c>
      <c r="E40" s="46" t="s">
        <v>134</v>
      </c>
      <c r="F40" s="47"/>
    </row>
    <row r="41" spans="1:6" ht="15" customHeight="1" x14ac:dyDescent="0.25">
      <c r="A41" s="132"/>
      <c r="B41" s="133"/>
      <c r="C41" s="46" t="s">
        <v>37</v>
      </c>
      <c r="D41" s="46" t="s">
        <v>59</v>
      </c>
      <c r="E41" s="46" t="s">
        <v>134</v>
      </c>
      <c r="F41" s="47"/>
    </row>
    <row r="42" spans="1:6" ht="15" customHeight="1" x14ac:dyDescent="0.25">
      <c r="A42" s="132"/>
      <c r="B42" s="135" t="s">
        <v>3</v>
      </c>
      <c r="C42" s="46" t="s">
        <v>7</v>
      </c>
      <c r="D42" s="46" t="s">
        <v>59</v>
      </c>
      <c r="E42" s="46" t="s">
        <v>134</v>
      </c>
      <c r="F42" s="47"/>
    </row>
    <row r="43" spans="1:6" ht="15" customHeight="1" x14ac:dyDescent="0.25">
      <c r="A43" s="132"/>
      <c r="B43" s="132"/>
      <c r="C43" s="46" t="s">
        <v>13</v>
      </c>
      <c r="D43" s="46" t="s">
        <v>59</v>
      </c>
      <c r="E43" s="46" t="s">
        <v>134</v>
      </c>
      <c r="F43" s="47"/>
    </row>
    <row r="44" spans="1:6" ht="15" customHeight="1" x14ac:dyDescent="0.25">
      <c r="A44" s="132"/>
      <c r="B44" s="132"/>
      <c r="C44" s="46" t="s">
        <v>19</v>
      </c>
      <c r="D44" s="46" t="s">
        <v>59</v>
      </c>
      <c r="E44" s="46" t="s">
        <v>134</v>
      </c>
      <c r="F44" s="47"/>
    </row>
    <row r="45" spans="1:6" ht="30" customHeight="1" x14ac:dyDescent="0.25">
      <c r="A45" s="132"/>
      <c r="B45" s="132"/>
      <c r="C45" s="46" t="s">
        <v>25</v>
      </c>
      <c r="D45" s="46" t="s">
        <v>59</v>
      </c>
      <c r="E45" s="46" t="s">
        <v>134</v>
      </c>
      <c r="F45" s="47"/>
    </row>
    <row r="46" spans="1:6" ht="30" customHeight="1" x14ac:dyDescent="0.25">
      <c r="A46" s="132"/>
      <c r="B46" s="132"/>
      <c r="C46" s="46" t="s">
        <v>31</v>
      </c>
      <c r="D46" s="46" t="s">
        <v>59</v>
      </c>
      <c r="E46" s="46" t="s">
        <v>134</v>
      </c>
      <c r="F46" s="47"/>
    </row>
    <row r="47" spans="1:6" ht="15" customHeight="1" x14ac:dyDescent="0.25">
      <c r="A47" s="132"/>
      <c r="B47" s="133"/>
      <c r="C47" s="46" t="s">
        <v>37</v>
      </c>
      <c r="D47" s="46" t="s">
        <v>59</v>
      </c>
      <c r="E47" s="46" t="s">
        <v>134</v>
      </c>
      <c r="F47" s="47"/>
    </row>
    <row r="48" spans="1:6" ht="15" customHeight="1" x14ac:dyDescent="0.25">
      <c r="A48" s="132"/>
      <c r="B48" s="135" t="s">
        <v>4</v>
      </c>
      <c r="C48" s="46" t="s">
        <v>7</v>
      </c>
      <c r="D48" s="46" t="s">
        <v>59</v>
      </c>
      <c r="E48" s="46" t="s">
        <v>134</v>
      </c>
      <c r="F48" s="47"/>
    </row>
    <row r="49" spans="1:6" ht="15" customHeight="1" x14ac:dyDescent="0.25">
      <c r="A49" s="132"/>
      <c r="B49" s="132"/>
      <c r="C49" s="46" t="s">
        <v>13</v>
      </c>
      <c r="D49" s="46" t="s">
        <v>59</v>
      </c>
      <c r="E49" s="46" t="s">
        <v>134</v>
      </c>
      <c r="F49" s="47"/>
    </row>
    <row r="50" spans="1:6" ht="15" customHeight="1" x14ac:dyDescent="0.25">
      <c r="A50" s="132"/>
      <c r="B50" s="132"/>
      <c r="C50" s="46" t="s">
        <v>19</v>
      </c>
      <c r="D50" s="46" t="s">
        <v>59</v>
      </c>
      <c r="E50" s="46" t="s">
        <v>134</v>
      </c>
      <c r="F50" s="47"/>
    </row>
    <row r="51" spans="1:6" ht="15" customHeight="1" x14ac:dyDescent="0.25">
      <c r="A51" s="132"/>
      <c r="B51" s="132"/>
      <c r="C51" s="46" t="s">
        <v>25</v>
      </c>
      <c r="D51" s="46" t="s">
        <v>59</v>
      </c>
      <c r="E51" s="46" t="s">
        <v>134</v>
      </c>
      <c r="F51" s="47"/>
    </row>
    <row r="52" spans="1:6" ht="15" customHeight="1" x14ac:dyDescent="0.25">
      <c r="A52" s="132"/>
      <c r="B52" s="132"/>
      <c r="C52" s="46" t="s">
        <v>31</v>
      </c>
      <c r="D52" s="46" t="s">
        <v>59</v>
      </c>
      <c r="E52" s="46" t="s">
        <v>134</v>
      </c>
      <c r="F52" s="47"/>
    </row>
    <row r="53" spans="1:6" ht="15" customHeight="1" x14ac:dyDescent="0.25">
      <c r="A53" s="132"/>
      <c r="B53" s="133"/>
      <c r="C53" s="46" t="s">
        <v>37</v>
      </c>
      <c r="D53" s="46" t="s">
        <v>59</v>
      </c>
      <c r="E53" s="46" t="s">
        <v>134</v>
      </c>
      <c r="F53" s="47"/>
    </row>
    <row r="54" spans="1:6" ht="15" customHeight="1" x14ac:dyDescent="0.25">
      <c r="A54" s="132"/>
      <c r="B54" s="135" t="s">
        <v>5</v>
      </c>
      <c r="C54" s="46" t="s">
        <v>7</v>
      </c>
      <c r="D54" s="46" t="s">
        <v>59</v>
      </c>
      <c r="E54" s="46" t="s">
        <v>134</v>
      </c>
      <c r="F54" s="47"/>
    </row>
    <row r="55" spans="1:6" ht="15" customHeight="1" x14ac:dyDescent="0.25">
      <c r="A55" s="132"/>
      <c r="B55" s="132"/>
      <c r="C55" s="46" t="s">
        <v>13</v>
      </c>
      <c r="D55" s="46" t="s">
        <v>59</v>
      </c>
      <c r="E55" s="46" t="s">
        <v>134</v>
      </c>
      <c r="F55" s="47"/>
    </row>
    <row r="56" spans="1:6" ht="15" customHeight="1" x14ac:dyDescent="0.25">
      <c r="A56" s="132"/>
      <c r="B56" s="132"/>
      <c r="C56" s="46" t="s">
        <v>19</v>
      </c>
      <c r="D56" s="46" t="s">
        <v>59</v>
      </c>
      <c r="E56" s="46" t="s">
        <v>134</v>
      </c>
      <c r="F56" s="47"/>
    </row>
    <row r="57" spans="1:6" ht="15" customHeight="1" x14ac:dyDescent="0.25">
      <c r="A57" s="132"/>
      <c r="B57" s="132"/>
      <c r="C57" s="46" t="s">
        <v>25</v>
      </c>
      <c r="D57" s="46" t="s">
        <v>59</v>
      </c>
      <c r="E57" s="46" t="s">
        <v>134</v>
      </c>
      <c r="F57" s="47"/>
    </row>
    <row r="58" spans="1:6" ht="15" customHeight="1" x14ac:dyDescent="0.25">
      <c r="A58" s="132"/>
      <c r="B58" s="132"/>
      <c r="C58" s="46" t="s">
        <v>31</v>
      </c>
      <c r="D58" s="46" t="s">
        <v>59</v>
      </c>
      <c r="E58" s="46" t="s">
        <v>134</v>
      </c>
      <c r="F58" s="47"/>
    </row>
    <row r="59" spans="1:6" ht="15" customHeight="1" x14ac:dyDescent="0.25">
      <c r="A59" s="132"/>
      <c r="B59" s="133"/>
      <c r="C59" s="46" t="s">
        <v>37</v>
      </c>
      <c r="D59" s="46" t="s">
        <v>59</v>
      </c>
      <c r="E59" s="46" t="s">
        <v>134</v>
      </c>
      <c r="F59" s="47"/>
    </row>
    <row r="60" spans="1:6" ht="15" customHeight="1" x14ac:dyDescent="0.25">
      <c r="A60" s="132"/>
      <c r="B60" s="135" t="s">
        <v>6</v>
      </c>
      <c r="C60" s="46" t="s">
        <v>7</v>
      </c>
      <c r="D60" s="46" t="s">
        <v>59</v>
      </c>
      <c r="E60" s="46" t="s">
        <v>134</v>
      </c>
      <c r="F60" s="47"/>
    </row>
    <row r="61" spans="1:6" ht="24" customHeight="1" x14ac:dyDescent="0.25">
      <c r="A61" s="132"/>
      <c r="B61" s="132"/>
      <c r="C61" s="46" t="s">
        <v>13</v>
      </c>
      <c r="D61" s="46" t="s">
        <v>59</v>
      </c>
      <c r="E61" s="46" t="s">
        <v>134</v>
      </c>
      <c r="F61" s="47"/>
    </row>
    <row r="62" spans="1:6" ht="19.899999999999999" customHeight="1" x14ac:dyDescent="0.25">
      <c r="A62" s="132"/>
      <c r="B62" s="132"/>
      <c r="C62" s="46" t="s">
        <v>19</v>
      </c>
      <c r="D62" s="46" t="s">
        <v>59</v>
      </c>
      <c r="E62" s="46" t="s">
        <v>134</v>
      </c>
      <c r="F62" s="47"/>
    </row>
    <row r="63" spans="1:6" ht="15" customHeight="1" x14ac:dyDescent="0.25">
      <c r="A63" s="132"/>
      <c r="B63" s="132"/>
      <c r="C63" s="46" t="s">
        <v>25</v>
      </c>
      <c r="D63" s="46" t="s">
        <v>59</v>
      </c>
      <c r="E63" s="46" t="s">
        <v>134</v>
      </c>
      <c r="F63" s="47"/>
    </row>
    <row r="64" spans="1:6" ht="15" customHeight="1" x14ac:dyDescent="0.25">
      <c r="A64" s="132"/>
      <c r="B64" s="132"/>
      <c r="C64" s="46" t="s">
        <v>31</v>
      </c>
      <c r="D64" s="46" t="s">
        <v>59</v>
      </c>
      <c r="E64" s="46" t="s">
        <v>134</v>
      </c>
      <c r="F64" s="47"/>
    </row>
    <row r="65" spans="1:6" ht="15" customHeight="1" x14ac:dyDescent="0.25">
      <c r="A65" s="133"/>
      <c r="B65" s="133"/>
      <c r="C65" s="46" t="s">
        <v>37</v>
      </c>
      <c r="D65" s="46" t="s">
        <v>59</v>
      </c>
      <c r="E65" s="46" t="s">
        <v>134</v>
      </c>
      <c r="F65" s="47"/>
    </row>
    <row r="66" spans="1:6" ht="15" customHeight="1" x14ac:dyDescent="0.25"/>
    <row r="67" spans="1:6" ht="24" customHeight="1" x14ac:dyDescent="0.25">
      <c r="A67" s="139" t="s">
        <v>136</v>
      </c>
      <c r="B67" s="94"/>
      <c r="C67" s="94"/>
      <c r="D67" s="94"/>
      <c r="E67" s="94"/>
      <c r="F67" s="95"/>
    </row>
    <row r="68" spans="1:6" ht="19.899999999999999" customHeight="1" x14ac:dyDescent="0.25">
      <c r="A68" s="40" t="s">
        <v>129</v>
      </c>
      <c r="B68" s="40" t="s">
        <v>128</v>
      </c>
      <c r="C68" s="40" t="s">
        <v>1</v>
      </c>
      <c r="D68" s="40" t="s">
        <v>52</v>
      </c>
      <c r="E68" s="40" t="s">
        <v>132</v>
      </c>
      <c r="F68" s="40" t="s">
        <v>133</v>
      </c>
    </row>
    <row r="69" spans="1:6" ht="15" customHeight="1" x14ac:dyDescent="0.25">
      <c r="A69" s="131" t="s">
        <v>58</v>
      </c>
      <c r="B69" s="131" t="s">
        <v>110</v>
      </c>
      <c r="C69" s="48" t="s">
        <v>7</v>
      </c>
      <c r="D69" s="48" t="s">
        <v>59</v>
      </c>
      <c r="E69" s="48" t="s">
        <v>134</v>
      </c>
      <c r="F69" s="49"/>
    </row>
    <row r="70" spans="1:6" ht="15" customHeight="1" x14ac:dyDescent="0.25">
      <c r="A70" s="132"/>
      <c r="B70" s="132"/>
      <c r="C70" s="48" t="s">
        <v>13</v>
      </c>
      <c r="D70" s="48" t="s">
        <v>59</v>
      </c>
      <c r="E70" s="48" t="s">
        <v>134</v>
      </c>
      <c r="F70" s="49"/>
    </row>
    <row r="71" spans="1:6" ht="15" customHeight="1" x14ac:dyDescent="0.25">
      <c r="A71" s="132"/>
      <c r="B71" s="132"/>
      <c r="C71" s="48" t="s">
        <v>19</v>
      </c>
      <c r="D71" s="48" t="s">
        <v>59</v>
      </c>
      <c r="E71" s="48" t="s">
        <v>134</v>
      </c>
      <c r="F71" s="49"/>
    </row>
    <row r="72" spans="1:6" ht="15" customHeight="1" x14ac:dyDescent="0.25">
      <c r="A72" s="132"/>
      <c r="B72" s="132"/>
      <c r="C72" s="48" t="s">
        <v>25</v>
      </c>
      <c r="D72" s="48" t="s">
        <v>59</v>
      </c>
      <c r="E72" s="48" t="s">
        <v>134</v>
      </c>
      <c r="F72" s="49"/>
    </row>
    <row r="73" spans="1:6" ht="15" customHeight="1" x14ac:dyDescent="0.25">
      <c r="A73" s="132"/>
      <c r="B73" s="132"/>
      <c r="C73" s="48" t="s">
        <v>31</v>
      </c>
      <c r="D73" s="48" t="s">
        <v>59</v>
      </c>
      <c r="E73" s="48" t="s">
        <v>134</v>
      </c>
      <c r="F73" s="49"/>
    </row>
    <row r="74" spans="1:6" ht="15" customHeight="1" x14ac:dyDescent="0.25">
      <c r="A74" s="132"/>
      <c r="B74" s="133"/>
      <c r="C74" s="48" t="s">
        <v>37</v>
      </c>
      <c r="D74" s="48" t="s">
        <v>59</v>
      </c>
      <c r="E74" s="48" t="s">
        <v>134</v>
      </c>
      <c r="F74" s="49"/>
    </row>
    <row r="75" spans="1:6" ht="15" customHeight="1" x14ac:dyDescent="0.25">
      <c r="A75" s="132"/>
      <c r="B75" s="131" t="s">
        <v>114</v>
      </c>
      <c r="C75" s="48" t="s">
        <v>7</v>
      </c>
      <c r="D75" s="48" t="s">
        <v>59</v>
      </c>
      <c r="E75" s="48" t="s">
        <v>134</v>
      </c>
      <c r="F75" s="49"/>
    </row>
    <row r="76" spans="1:6" ht="15" customHeight="1" x14ac:dyDescent="0.25">
      <c r="A76" s="132"/>
      <c r="B76" s="132"/>
      <c r="C76" s="48" t="s">
        <v>13</v>
      </c>
      <c r="D76" s="48" t="s">
        <v>59</v>
      </c>
      <c r="E76" s="48" t="s">
        <v>134</v>
      </c>
      <c r="F76" s="49"/>
    </row>
    <row r="77" spans="1:6" ht="15" customHeight="1" x14ac:dyDescent="0.25">
      <c r="A77" s="132"/>
      <c r="B77" s="132"/>
      <c r="C77" s="48" t="s">
        <v>19</v>
      </c>
      <c r="D77" s="48" t="s">
        <v>59</v>
      </c>
      <c r="E77" s="48" t="s">
        <v>134</v>
      </c>
      <c r="F77" s="49"/>
    </row>
    <row r="78" spans="1:6" ht="15" customHeight="1" x14ac:dyDescent="0.25">
      <c r="A78" s="132"/>
      <c r="B78" s="132"/>
      <c r="C78" s="48" t="s">
        <v>25</v>
      </c>
      <c r="D78" s="48" t="s">
        <v>59</v>
      </c>
      <c r="E78" s="48" t="s">
        <v>134</v>
      </c>
      <c r="F78" s="49"/>
    </row>
    <row r="79" spans="1:6" ht="15" customHeight="1" x14ac:dyDescent="0.25">
      <c r="A79" s="132"/>
      <c r="B79" s="132"/>
      <c r="C79" s="48" t="s">
        <v>31</v>
      </c>
      <c r="D79" s="48" t="s">
        <v>59</v>
      </c>
      <c r="E79" s="48" t="s">
        <v>134</v>
      </c>
      <c r="F79" s="49"/>
    </row>
    <row r="80" spans="1:6" ht="15" customHeight="1" x14ac:dyDescent="0.25">
      <c r="A80" s="132"/>
      <c r="B80" s="133"/>
      <c r="C80" s="48" t="s">
        <v>37</v>
      </c>
      <c r="D80" s="48" t="s">
        <v>59</v>
      </c>
      <c r="E80" s="48" t="s">
        <v>134</v>
      </c>
      <c r="F80" s="49"/>
    </row>
    <row r="81" spans="1:6" ht="15" customHeight="1" x14ac:dyDescent="0.25">
      <c r="A81" s="132"/>
      <c r="B81" s="131" t="s">
        <v>118</v>
      </c>
      <c r="C81" s="48" t="s">
        <v>7</v>
      </c>
      <c r="D81" s="48" t="s">
        <v>59</v>
      </c>
      <c r="E81" s="48" t="s">
        <v>134</v>
      </c>
      <c r="F81" s="49"/>
    </row>
    <row r="82" spans="1:6" ht="15" customHeight="1" x14ac:dyDescent="0.25">
      <c r="A82" s="132"/>
      <c r="B82" s="132"/>
      <c r="C82" s="48" t="s">
        <v>13</v>
      </c>
      <c r="D82" s="48" t="s">
        <v>59</v>
      </c>
      <c r="E82" s="48" t="s">
        <v>134</v>
      </c>
      <c r="F82" s="49"/>
    </row>
    <row r="83" spans="1:6" ht="15" customHeight="1" x14ac:dyDescent="0.25">
      <c r="A83" s="132"/>
      <c r="B83" s="132"/>
      <c r="C83" s="48" t="s">
        <v>19</v>
      </c>
      <c r="D83" s="48" t="s">
        <v>59</v>
      </c>
      <c r="E83" s="48" t="s">
        <v>134</v>
      </c>
      <c r="F83" s="49"/>
    </row>
    <row r="84" spans="1:6" ht="15" customHeight="1" x14ac:dyDescent="0.25">
      <c r="A84" s="132"/>
      <c r="B84" s="132"/>
      <c r="C84" s="48" t="s">
        <v>25</v>
      </c>
      <c r="D84" s="48" t="s">
        <v>59</v>
      </c>
      <c r="E84" s="48" t="s">
        <v>134</v>
      </c>
      <c r="F84" s="49"/>
    </row>
    <row r="85" spans="1:6" ht="15" customHeight="1" x14ac:dyDescent="0.25">
      <c r="A85" s="132"/>
      <c r="B85" s="132"/>
      <c r="C85" s="48" t="s">
        <v>31</v>
      </c>
      <c r="D85" s="48" t="s">
        <v>59</v>
      </c>
      <c r="E85" s="48" t="s">
        <v>134</v>
      </c>
      <c r="F85" s="49"/>
    </row>
    <row r="86" spans="1:6" ht="15" customHeight="1" x14ac:dyDescent="0.25">
      <c r="A86" s="132"/>
      <c r="B86" s="133"/>
      <c r="C86" s="48" t="s">
        <v>37</v>
      </c>
      <c r="D86" s="48" t="s">
        <v>59</v>
      </c>
      <c r="E86" s="48" t="s">
        <v>134</v>
      </c>
      <c r="F86" s="49"/>
    </row>
    <row r="87" spans="1:6" ht="15" customHeight="1" x14ac:dyDescent="0.25">
      <c r="A87" s="132"/>
      <c r="B87" s="131" t="s">
        <v>121</v>
      </c>
      <c r="C87" s="48" t="s">
        <v>7</v>
      </c>
      <c r="D87" s="48" t="s">
        <v>59</v>
      </c>
      <c r="E87" s="48" t="s">
        <v>134</v>
      </c>
      <c r="F87" s="49"/>
    </row>
    <row r="88" spans="1:6" ht="24" customHeight="1" x14ac:dyDescent="0.25">
      <c r="A88" s="132"/>
      <c r="B88" s="132"/>
      <c r="C88" s="48" t="s">
        <v>13</v>
      </c>
      <c r="D88" s="48" t="s">
        <v>59</v>
      </c>
      <c r="E88" s="48" t="s">
        <v>134</v>
      </c>
      <c r="F88" s="49"/>
    </row>
    <row r="89" spans="1:6" ht="19.899999999999999" customHeight="1" x14ac:dyDescent="0.25">
      <c r="A89" s="132"/>
      <c r="B89" s="132"/>
      <c r="C89" s="48" t="s">
        <v>19</v>
      </c>
      <c r="D89" s="48" t="s">
        <v>59</v>
      </c>
      <c r="E89" s="48" t="s">
        <v>134</v>
      </c>
      <c r="F89" s="49"/>
    </row>
    <row r="90" spans="1:6" ht="15" customHeight="1" x14ac:dyDescent="0.25">
      <c r="A90" s="132"/>
      <c r="B90" s="132"/>
      <c r="C90" s="48" t="s">
        <v>25</v>
      </c>
      <c r="D90" s="48" t="s">
        <v>59</v>
      </c>
      <c r="E90" s="48" t="s">
        <v>134</v>
      </c>
      <c r="F90" s="49"/>
    </row>
    <row r="91" spans="1:6" ht="15" customHeight="1" x14ac:dyDescent="0.25">
      <c r="A91" s="132"/>
      <c r="B91" s="132"/>
      <c r="C91" s="48" t="s">
        <v>31</v>
      </c>
      <c r="D91" s="48" t="s">
        <v>59</v>
      </c>
      <c r="E91" s="48" t="s">
        <v>134</v>
      </c>
      <c r="F91" s="49"/>
    </row>
    <row r="92" spans="1:6" ht="15" customHeight="1" x14ac:dyDescent="0.25">
      <c r="A92" s="133"/>
      <c r="B92" s="133"/>
      <c r="C92" s="48" t="s">
        <v>37</v>
      </c>
      <c r="D92" s="48" t="s">
        <v>59</v>
      </c>
      <c r="E92" s="48" t="s">
        <v>134</v>
      </c>
      <c r="F92" s="49"/>
    </row>
    <row r="93" spans="1:6" ht="15" customHeight="1" x14ac:dyDescent="0.25"/>
    <row r="94" spans="1:6" ht="24" customHeight="1" x14ac:dyDescent="0.25">
      <c r="A94" s="142" t="s">
        <v>137</v>
      </c>
      <c r="B94" s="94"/>
      <c r="C94" s="94"/>
      <c r="D94" s="94"/>
      <c r="E94" s="94"/>
      <c r="F94" s="95"/>
    </row>
    <row r="95" spans="1:6" ht="19.899999999999999" customHeight="1" x14ac:dyDescent="0.25">
      <c r="A95" s="40" t="s">
        <v>129</v>
      </c>
      <c r="B95" s="40" t="s">
        <v>128</v>
      </c>
      <c r="C95" s="40" t="s">
        <v>1</v>
      </c>
      <c r="D95" s="40" t="s">
        <v>52</v>
      </c>
      <c r="E95" s="40" t="s">
        <v>132</v>
      </c>
      <c r="F95" s="40" t="s">
        <v>133</v>
      </c>
    </row>
    <row r="96" spans="1:6" ht="15" customHeight="1" x14ac:dyDescent="0.25">
      <c r="A96" s="134" t="s">
        <v>60</v>
      </c>
      <c r="B96" s="134" t="s">
        <v>111</v>
      </c>
      <c r="C96" s="50" t="s">
        <v>7</v>
      </c>
      <c r="D96" s="50" t="s">
        <v>59</v>
      </c>
      <c r="E96" s="50" t="s">
        <v>134</v>
      </c>
      <c r="F96" s="51"/>
    </row>
    <row r="97" spans="1:6" ht="15" customHeight="1" x14ac:dyDescent="0.25">
      <c r="A97" s="132"/>
      <c r="B97" s="132"/>
      <c r="C97" s="50" t="s">
        <v>13</v>
      </c>
      <c r="D97" s="50" t="s">
        <v>59</v>
      </c>
      <c r="E97" s="50" t="s">
        <v>134</v>
      </c>
      <c r="F97" s="51"/>
    </row>
    <row r="98" spans="1:6" ht="15" customHeight="1" x14ac:dyDescent="0.25">
      <c r="A98" s="132"/>
      <c r="B98" s="132"/>
      <c r="C98" s="50" t="s">
        <v>19</v>
      </c>
      <c r="D98" s="50" t="s">
        <v>59</v>
      </c>
      <c r="E98" s="50" t="s">
        <v>134</v>
      </c>
      <c r="F98" s="51"/>
    </row>
    <row r="99" spans="1:6" ht="15" customHeight="1" x14ac:dyDescent="0.25">
      <c r="A99" s="132"/>
      <c r="B99" s="132"/>
      <c r="C99" s="50" t="s">
        <v>25</v>
      </c>
      <c r="D99" s="50" t="s">
        <v>59</v>
      </c>
      <c r="E99" s="50" t="s">
        <v>134</v>
      </c>
      <c r="F99" s="51"/>
    </row>
    <row r="100" spans="1:6" ht="15" customHeight="1" x14ac:dyDescent="0.25">
      <c r="A100" s="132"/>
      <c r="B100" s="132"/>
      <c r="C100" s="50" t="s">
        <v>31</v>
      </c>
      <c r="D100" s="50" t="s">
        <v>59</v>
      </c>
      <c r="E100" s="50" t="s">
        <v>134</v>
      </c>
      <c r="F100" s="51"/>
    </row>
    <row r="101" spans="1:6" ht="15" customHeight="1" x14ac:dyDescent="0.25">
      <c r="A101" s="132"/>
      <c r="B101" s="133"/>
      <c r="C101" s="50" t="s">
        <v>37</v>
      </c>
      <c r="D101" s="50" t="s">
        <v>59</v>
      </c>
      <c r="E101" s="50" t="s">
        <v>134</v>
      </c>
      <c r="F101" s="51"/>
    </row>
    <row r="102" spans="1:6" ht="15" customHeight="1" x14ac:dyDescent="0.25">
      <c r="A102" s="132"/>
      <c r="B102" s="134" t="s">
        <v>115</v>
      </c>
      <c r="C102" s="50" t="s">
        <v>7</v>
      </c>
      <c r="D102" s="50" t="s">
        <v>59</v>
      </c>
      <c r="E102" s="50" t="s">
        <v>134</v>
      </c>
      <c r="F102" s="51"/>
    </row>
    <row r="103" spans="1:6" ht="24" customHeight="1" x14ac:dyDescent="0.25">
      <c r="A103" s="132"/>
      <c r="B103" s="132"/>
      <c r="C103" s="50" t="s">
        <v>13</v>
      </c>
      <c r="D103" s="50" t="s">
        <v>59</v>
      </c>
      <c r="E103" s="50" t="s">
        <v>134</v>
      </c>
      <c r="F103" s="51"/>
    </row>
    <row r="104" spans="1:6" ht="19.899999999999999" customHeight="1" x14ac:dyDescent="0.25">
      <c r="A104" s="132"/>
      <c r="B104" s="132"/>
      <c r="C104" s="50" t="s">
        <v>19</v>
      </c>
      <c r="D104" s="50" t="s">
        <v>59</v>
      </c>
      <c r="E104" s="50" t="s">
        <v>134</v>
      </c>
      <c r="F104" s="51"/>
    </row>
    <row r="105" spans="1:6" ht="15" customHeight="1" x14ac:dyDescent="0.25">
      <c r="A105" s="132"/>
      <c r="B105" s="132"/>
      <c r="C105" s="50" t="s">
        <v>25</v>
      </c>
      <c r="D105" s="50" t="s">
        <v>59</v>
      </c>
      <c r="E105" s="50" t="s">
        <v>134</v>
      </c>
      <c r="F105" s="51"/>
    </row>
    <row r="106" spans="1:6" ht="15" customHeight="1" x14ac:dyDescent="0.25">
      <c r="A106" s="132"/>
      <c r="B106" s="132"/>
      <c r="C106" s="50" t="s">
        <v>31</v>
      </c>
      <c r="D106" s="50" t="s">
        <v>59</v>
      </c>
      <c r="E106" s="50" t="s">
        <v>134</v>
      </c>
      <c r="F106" s="51"/>
    </row>
    <row r="107" spans="1:6" ht="15" customHeight="1" x14ac:dyDescent="0.25">
      <c r="A107" s="133"/>
      <c r="B107" s="133"/>
      <c r="C107" s="50" t="s">
        <v>37</v>
      </c>
      <c r="D107" s="50" t="s">
        <v>59</v>
      </c>
      <c r="E107" s="50" t="s">
        <v>134</v>
      </c>
      <c r="F107" s="51"/>
    </row>
    <row r="108" spans="1:6" ht="15" customHeight="1" x14ac:dyDescent="0.25"/>
    <row r="109" spans="1:6" ht="24" customHeight="1" x14ac:dyDescent="0.25">
      <c r="A109" s="137" t="s">
        <v>138</v>
      </c>
      <c r="B109" s="94"/>
      <c r="C109" s="94"/>
      <c r="D109" s="94"/>
      <c r="E109" s="94"/>
      <c r="F109" s="95"/>
    </row>
    <row r="110" spans="1:6" ht="19.899999999999999" customHeight="1" x14ac:dyDescent="0.25">
      <c r="A110" s="40" t="s">
        <v>129</v>
      </c>
      <c r="B110" s="40" t="s">
        <v>128</v>
      </c>
      <c r="C110" s="40" t="s">
        <v>1</v>
      </c>
      <c r="D110" s="40" t="s">
        <v>52</v>
      </c>
      <c r="E110" s="40" t="s">
        <v>132</v>
      </c>
      <c r="F110" s="40" t="s">
        <v>133</v>
      </c>
    </row>
    <row r="111" spans="1:6" ht="15" customHeight="1" x14ac:dyDescent="0.25">
      <c r="A111" s="130" t="s">
        <v>61</v>
      </c>
      <c r="B111" s="130" t="s">
        <v>112</v>
      </c>
      <c r="C111" s="85" t="s">
        <v>7</v>
      </c>
      <c r="D111" s="85" t="s">
        <v>59</v>
      </c>
      <c r="E111" s="85" t="s">
        <v>134</v>
      </c>
      <c r="F111" s="85"/>
    </row>
    <row r="112" spans="1:6" ht="15" customHeight="1" x14ac:dyDescent="0.25">
      <c r="A112" s="128"/>
      <c r="B112" s="128"/>
      <c r="C112" s="85" t="s">
        <v>13</v>
      </c>
      <c r="D112" s="85" t="s">
        <v>59</v>
      </c>
      <c r="E112" s="85" t="s">
        <v>134</v>
      </c>
      <c r="F112" s="85"/>
    </row>
    <row r="113" spans="1:6" ht="15" customHeight="1" x14ac:dyDescent="0.25">
      <c r="A113" s="128"/>
      <c r="B113" s="128"/>
      <c r="C113" s="85" t="s">
        <v>19</v>
      </c>
      <c r="D113" s="85" t="s">
        <v>59</v>
      </c>
      <c r="E113" s="85" t="s">
        <v>134</v>
      </c>
      <c r="F113" s="85"/>
    </row>
    <row r="114" spans="1:6" ht="15" customHeight="1" x14ac:dyDescent="0.25">
      <c r="A114" s="128"/>
      <c r="B114" s="128"/>
      <c r="C114" s="85" t="s">
        <v>25</v>
      </c>
      <c r="D114" s="85" t="s">
        <v>59</v>
      </c>
      <c r="E114" s="85" t="s">
        <v>134</v>
      </c>
      <c r="F114" s="85"/>
    </row>
    <row r="115" spans="1:6" ht="15" customHeight="1" x14ac:dyDescent="0.25">
      <c r="A115" s="128"/>
      <c r="B115" s="128"/>
      <c r="C115" s="85" t="s">
        <v>31</v>
      </c>
      <c r="D115" s="85" t="s">
        <v>59</v>
      </c>
      <c r="E115" s="85" t="s">
        <v>134</v>
      </c>
      <c r="F115" s="85"/>
    </row>
    <row r="116" spans="1:6" ht="15" customHeight="1" x14ac:dyDescent="0.25">
      <c r="A116" s="128"/>
      <c r="B116" s="129"/>
      <c r="C116" s="85" t="s">
        <v>37</v>
      </c>
      <c r="D116" s="85" t="s">
        <v>59</v>
      </c>
      <c r="E116" s="85" t="s">
        <v>134</v>
      </c>
      <c r="F116" s="85"/>
    </row>
    <row r="117" spans="1:6" ht="15" customHeight="1" x14ac:dyDescent="0.25">
      <c r="A117" s="128"/>
      <c r="B117" s="130" t="s">
        <v>116</v>
      </c>
      <c r="C117" s="85" t="s">
        <v>7</v>
      </c>
      <c r="D117" s="85" t="s">
        <v>59</v>
      </c>
      <c r="E117" s="85" t="s">
        <v>134</v>
      </c>
      <c r="F117" s="85"/>
    </row>
    <row r="118" spans="1:6" ht="15" customHeight="1" x14ac:dyDescent="0.25">
      <c r="A118" s="128"/>
      <c r="B118" s="128"/>
      <c r="C118" s="85" t="s">
        <v>13</v>
      </c>
      <c r="D118" s="85" t="s">
        <v>59</v>
      </c>
      <c r="E118" s="85" t="s">
        <v>134</v>
      </c>
      <c r="F118" s="85"/>
    </row>
    <row r="119" spans="1:6" ht="15" customHeight="1" x14ac:dyDescent="0.25">
      <c r="A119" s="128"/>
      <c r="B119" s="128"/>
      <c r="C119" s="85" t="s">
        <v>19</v>
      </c>
      <c r="D119" s="85" t="s">
        <v>59</v>
      </c>
      <c r="E119" s="85" t="s">
        <v>134</v>
      </c>
      <c r="F119" s="85"/>
    </row>
    <row r="120" spans="1:6" ht="15" customHeight="1" x14ac:dyDescent="0.25">
      <c r="A120" s="128"/>
      <c r="B120" s="128"/>
      <c r="C120" s="85" t="s">
        <v>25</v>
      </c>
      <c r="D120" s="85" t="s">
        <v>59</v>
      </c>
      <c r="E120" s="85" t="s">
        <v>134</v>
      </c>
      <c r="F120" s="85"/>
    </row>
    <row r="121" spans="1:6" ht="15" customHeight="1" x14ac:dyDescent="0.25">
      <c r="A121" s="128"/>
      <c r="B121" s="128"/>
      <c r="C121" s="85" t="s">
        <v>31</v>
      </c>
      <c r="D121" s="85" t="s">
        <v>59</v>
      </c>
      <c r="E121" s="85" t="s">
        <v>134</v>
      </c>
      <c r="F121" s="85"/>
    </row>
    <row r="122" spans="1:6" ht="15" customHeight="1" x14ac:dyDescent="0.25">
      <c r="A122" s="128"/>
      <c r="B122" s="129"/>
      <c r="C122" s="85" t="s">
        <v>37</v>
      </c>
      <c r="D122" s="85" t="s">
        <v>59</v>
      </c>
      <c r="E122" s="85" t="s">
        <v>134</v>
      </c>
      <c r="F122" s="85"/>
    </row>
    <row r="123" spans="1:6" ht="15" customHeight="1" x14ac:dyDescent="0.25">
      <c r="A123" s="128"/>
      <c r="B123" s="130" t="s">
        <v>119</v>
      </c>
      <c r="C123" s="85" t="s">
        <v>7</v>
      </c>
      <c r="D123" s="85" t="s">
        <v>59</v>
      </c>
      <c r="E123" s="85" t="s">
        <v>134</v>
      </c>
      <c r="F123" s="85"/>
    </row>
    <row r="124" spans="1:6" ht="15" customHeight="1" x14ac:dyDescent="0.25">
      <c r="A124" s="128"/>
      <c r="B124" s="128"/>
      <c r="C124" s="85" t="s">
        <v>13</v>
      </c>
      <c r="D124" s="85" t="s">
        <v>59</v>
      </c>
      <c r="E124" s="85" t="s">
        <v>134</v>
      </c>
      <c r="F124" s="85"/>
    </row>
    <row r="125" spans="1:6" ht="15" customHeight="1" x14ac:dyDescent="0.25">
      <c r="A125" s="128"/>
      <c r="B125" s="128"/>
      <c r="C125" s="85" t="s">
        <v>19</v>
      </c>
      <c r="D125" s="85" t="s">
        <v>59</v>
      </c>
      <c r="E125" s="85" t="s">
        <v>134</v>
      </c>
      <c r="F125" s="85"/>
    </row>
    <row r="126" spans="1:6" ht="15" customHeight="1" x14ac:dyDescent="0.25">
      <c r="A126" s="128"/>
      <c r="B126" s="128"/>
      <c r="C126" s="85" t="s">
        <v>25</v>
      </c>
      <c r="D126" s="85" t="s">
        <v>59</v>
      </c>
      <c r="E126" s="85" t="s">
        <v>134</v>
      </c>
      <c r="F126" s="85"/>
    </row>
    <row r="127" spans="1:6" ht="15" customHeight="1" x14ac:dyDescent="0.25">
      <c r="A127" s="128"/>
      <c r="B127" s="128"/>
      <c r="C127" s="85" t="s">
        <v>31</v>
      </c>
      <c r="D127" s="85" t="s">
        <v>59</v>
      </c>
      <c r="E127" s="85" t="s">
        <v>134</v>
      </c>
      <c r="F127" s="85"/>
    </row>
    <row r="128" spans="1:6" ht="15" customHeight="1" x14ac:dyDescent="0.25">
      <c r="A128" s="128"/>
      <c r="B128" s="129"/>
      <c r="C128" s="85" t="s">
        <v>37</v>
      </c>
      <c r="D128" s="85" t="s">
        <v>59</v>
      </c>
      <c r="E128" s="85" t="s">
        <v>134</v>
      </c>
      <c r="F128" s="85"/>
    </row>
    <row r="129" spans="1:6" ht="15" customHeight="1" x14ac:dyDescent="0.25">
      <c r="A129" s="128"/>
      <c r="B129" s="130" t="s">
        <v>122</v>
      </c>
      <c r="C129" s="85" t="s">
        <v>7</v>
      </c>
      <c r="D129" s="85" t="s">
        <v>59</v>
      </c>
      <c r="E129" s="85" t="s">
        <v>134</v>
      </c>
      <c r="F129" s="85"/>
    </row>
    <row r="130" spans="1:6" ht="15" customHeight="1" x14ac:dyDescent="0.25">
      <c r="A130" s="128"/>
      <c r="B130" s="128"/>
      <c r="C130" s="85" t="s">
        <v>13</v>
      </c>
      <c r="D130" s="85" t="s">
        <v>59</v>
      </c>
      <c r="E130" s="85" t="s">
        <v>134</v>
      </c>
      <c r="F130" s="85"/>
    </row>
    <row r="131" spans="1:6" ht="15" customHeight="1" x14ac:dyDescent="0.25">
      <c r="A131" s="128"/>
      <c r="B131" s="128"/>
      <c r="C131" s="85" t="s">
        <v>19</v>
      </c>
      <c r="D131" s="85" t="s">
        <v>59</v>
      </c>
      <c r="E131" s="85" t="s">
        <v>134</v>
      </c>
      <c r="F131" s="85"/>
    </row>
    <row r="132" spans="1:6" ht="15" customHeight="1" x14ac:dyDescent="0.25">
      <c r="A132" s="128"/>
      <c r="B132" s="128"/>
      <c r="C132" s="85" t="s">
        <v>25</v>
      </c>
      <c r="D132" s="85" t="s">
        <v>59</v>
      </c>
      <c r="E132" s="85" t="s">
        <v>134</v>
      </c>
      <c r="F132" s="85"/>
    </row>
    <row r="133" spans="1:6" ht="15" customHeight="1" x14ac:dyDescent="0.25">
      <c r="A133" s="128"/>
      <c r="B133" s="128"/>
      <c r="C133" s="85" t="s">
        <v>31</v>
      </c>
      <c r="D133" s="85" t="s">
        <v>59</v>
      </c>
      <c r="E133" s="85" t="s">
        <v>134</v>
      </c>
      <c r="F133" s="85"/>
    </row>
    <row r="134" spans="1:6" ht="15" customHeight="1" x14ac:dyDescent="0.25">
      <c r="A134" s="128"/>
      <c r="B134" s="129"/>
      <c r="C134" s="85" t="s">
        <v>37</v>
      </c>
      <c r="D134" s="85" t="s">
        <v>59</v>
      </c>
      <c r="E134" s="85" t="s">
        <v>134</v>
      </c>
      <c r="F134" s="85"/>
    </row>
    <row r="135" spans="1:6" ht="15" customHeight="1" x14ac:dyDescent="0.25">
      <c r="A135" s="128"/>
      <c r="B135" s="130" t="s">
        <v>124</v>
      </c>
      <c r="C135" s="85" t="s">
        <v>7</v>
      </c>
      <c r="D135" s="85" t="s">
        <v>59</v>
      </c>
      <c r="E135" s="85" t="s">
        <v>134</v>
      </c>
      <c r="F135" s="85"/>
    </row>
    <row r="136" spans="1:6" ht="15" customHeight="1" x14ac:dyDescent="0.25">
      <c r="A136" s="128"/>
      <c r="B136" s="128"/>
      <c r="C136" s="85" t="s">
        <v>13</v>
      </c>
      <c r="D136" s="85" t="s">
        <v>59</v>
      </c>
      <c r="E136" s="85" t="s">
        <v>134</v>
      </c>
      <c r="F136" s="85"/>
    </row>
    <row r="137" spans="1:6" ht="15" customHeight="1" x14ac:dyDescent="0.25">
      <c r="A137" s="128"/>
      <c r="B137" s="128"/>
      <c r="C137" s="85" t="s">
        <v>19</v>
      </c>
      <c r="D137" s="85" t="s">
        <v>59</v>
      </c>
      <c r="E137" s="85" t="s">
        <v>134</v>
      </c>
      <c r="F137" s="85"/>
    </row>
    <row r="138" spans="1:6" ht="15" customHeight="1" x14ac:dyDescent="0.25">
      <c r="A138" s="128"/>
      <c r="B138" s="128"/>
      <c r="C138" s="85" t="s">
        <v>25</v>
      </c>
      <c r="D138" s="85" t="s">
        <v>59</v>
      </c>
      <c r="E138" s="85" t="s">
        <v>134</v>
      </c>
      <c r="F138" s="85"/>
    </row>
    <row r="139" spans="1:6" ht="15" customHeight="1" x14ac:dyDescent="0.25">
      <c r="A139" s="128"/>
      <c r="B139" s="128"/>
      <c r="C139" s="85" t="s">
        <v>31</v>
      </c>
      <c r="D139" s="85" t="s">
        <v>59</v>
      </c>
      <c r="E139" s="85" t="s">
        <v>134</v>
      </c>
      <c r="F139" s="85"/>
    </row>
    <row r="140" spans="1:6" ht="15" customHeight="1" x14ac:dyDescent="0.25">
      <c r="A140" s="128"/>
      <c r="B140" s="129"/>
      <c r="C140" s="85" t="s">
        <v>37</v>
      </c>
      <c r="D140" s="85" t="s">
        <v>59</v>
      </c>
      <c r="E140" s="85" t="s">
        <v>134</v>
      </c>
      <c r="F140" s="85"/>
    </row>
    <row r="141" spans="1:6" ht="15" customHeight="1" x14ac:dyDescent="0.25">
      <c r="A141" s="128"/>
      <c r="B141" s="130" t="s">
        <v>125</v>
      </c>
      <c r="C141" s="85" t="s">
        <v>7</v>
      </c>
      <c r="D141" s="85" t="s">
        <v>59</v>
      </c>
      <c r="E141" s="85" t="s">
        <v>134</v>
      </c>
      <c r="F141" s="85"/>
    </row>
    <row r="142" spans="1:6" ht="15" customHeight="1" x14ac:dyDescent="0.25">
      <c r="A142" s="128"/>
      <c r="B142" s="128"/>
      <c r="C142" s="85" t="s">
        <v>13</v>
      </c>
      <c r="D142" s="85" t="s">
        <v>59</v>
      </c>
      <c r="E142" s="85" t="s">
        <v>134</v>
      </c>
      <c r="F142" s="85"/>
    </row>
    <row r="143" spans="1:6" ht="15" customHeight="1" x14ac:dyDescent="0.25">
      <c r="A143" s="128"/>
      <c r="B143" s="128"/>
      <c r="C143" s="85" t="s">
        <v>19</v>
      </c>
      <c r="D143" s="85" t="s">
        <v>59</v>
      </c>
      <c r="E143" s="85" t="s">
        <v>134</v>
      </c>
      <c r="F143" s="85"/>
    </row>
    <row r="144" spans="1:6" ht="15" customHeight="1" x14ac:dyDescent="0.25">
      <c r="A144" s="128"/>
      <c r="B144" s="128"/>
      <c r="C144" s="85" t="s">
        <v>25</v>
      </c>
      <c r="D144" s="85" t="s">
        <v>59</v>
      </c>
      <c r="E144" s="85" t="s">
        <v>134</v>
      </c>
      <c r="F144" s="85"/>
    </row>
    <row r="145" spans="1:6" ht="15" customHeight="1" x14ac:dyDescent="0.25">
      <c r="A145" s="128"/>
      <c r="B145" s="128"/>
      <c r="C145" s="85" t="s">
        <v>31</v>
      </c>
      <c r="D145" s="85" t="s">
        <v>59</v>
      </c>
      <c r="E145" s="85" t="s">
        <v>134</v>
      </c>
      <c r="F145" s="85"/>
    </row>
    <row r="146" spans="1:6" ht="15" customHeight="1" x14ac:dyDescent="0.25">
      <c r="A146" s="128"/>
      <c r="B146" s="129"/>
      <c r="C146" s="85" t="s">
        <v>37</v>
      </c>
      <c r="D146" s="85" t="s">
        <v>59</v>
      </c>
      <c r="E146" s="85" t="s">
        <v>134</v>
      </c>
      <c r="F146" s="85"/>
    </row>
    <row r="147" spans="1:6" ht="15" customHeight="1" x14ac:dyDescent="0.25">
      <c r="A147" s="128"/>
      <c r="B147" s="138" t="s">
        <v>126</v>
      </c>
      <c r="C147" s="81" t="s">
        <v>7</v>
      </c>
      <c r="D147" s="81" t="s">
        <v>59</v>
      </c>
      <c r="E147" s="81" t="s">
        <v>134</v>
      </c>
      <c r="F147" s="81"/>
    </row>
    <row r="148" spans="1:6" ht="15" customHeight="1" x14ac:dyDescent="0.25">
      <c r="A148" s="128"/>
      <c r="B148" s="128"/>
      <c r="C148" s="81" t="s">
        <v>13</v>
      </c>
      <c r="D148" s="81" t="s">
        <v>59</v>
      </c>
      <c r="E148" s="81" t="s">
        <v>134</v>
      </c>
      <c r="F148" s="81"/>
    </row>
    <row r="149" spans="1:6" ht="15" customHeight="1" x14ac:dyDescent="0.25">
      <c r="A149" s="128"/>
      <c r="B149" s="128"/>
      <c r="C149" s="81" t="s">
        <v>19</v>
      </c>
      <c r="D149" s="81" t="s">
        <v>59</v>
      </c>
      <c r="E149" s="81" t="s">
        <v>134</v>
      </c>
      <c r="F149" s="81"/>
    </row>
    <row r="150" spans="1:6" ht="15" customHeight="1" x14ac:dyDescent="0.25">
      <c r="A150" s="128"/>
      <c r="B150" s="128"/>
      <c r="C150" s="81" t="s">
        <v>25</v>
      </c>
      <c r="D150" s="81" t="s">
        <v>59</v>
      </c>
      <c r="E150" s="81" t="s">
        <v>134</v>
      </c>
      <c r="F150" s="81"/>
    </row>
    <row r="151" spans="1:6" ht="15" customHeight="1" x14ac:dyDescent="0.25">
      <c r="A151" s="128"/>
      <c r="B151" s="128"/>
      <c r="C151" s="81" t="s">
        <v>31</v>
      </c>
      <c r="D151" s="81" t="s">
        <v>59</v>
      </c>
      <c r="E151" s="81" t="s">
        <v>134</v>
      </c>
      <c r="F151" s="81"/>
    </row>
    <row r="152" spans="1:6" ht="15" customHeight="1" x14ac:dyDescent="0.25">
      <c r="A152" s="129"/>
      <c r="B152" s="129"/>
      <c r="C152" s="81" t="s">
        <v>37</v>
      </c>
      <c r="D152" s="81" t="s">
        <v>59</v>
      </c>
      <c r="E152" s="81" t="s">
        <v>134</v>
      </c>
      <c r="F152" s="81"/>
    </row>
    <row r="153" spans="1:6" ht="15" customHeight="1" x14ac:dyDescent="0.25"/>
    <row r="154" spans="1:6" ht="15" customHeight="1" x14ac:dyDescent="0.25"/>
    <row r="155" spans="1:6" ht="15" customHeight="1" x14ac:dyDescent="0.25"/>
    <row r="156" spans="1:6" ht="15" customHeight="1" x14ac:dyDescent="0.25"/>
    <row r="157" spans="1:6" ht="15" customHeight="1" x14ac:dyDescent="0.25"/>
    <row r="158" spans="1:6" ht="15" customHeight="1" x14ac:dyDescent="0.25"/>
    <row r="159" spans="1:6" ht="15" customHeight="1" x14ac:dyDescent="0.25"/>
    <row r="160" spans="1:6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9" ht="16.899999999999999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2" ht="16.899999999999999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5" ht="16.899999999999999" customHeight="1" x14ac:dyDescent="0.25"/>
    <row r="466" ht="15" customHeight="1" x14ac:dyDescent="0.25"/>
    <row r="467" ht="30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8" ht="16.899999999999999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</sheetData>
  <mergeCells count="33">
    <mergeCell ref="A1:F1"/>
    <mergeCell ref="A94:F94"/>
    <mergeCell ref="B129:B134"/>
    <mergeCell ref="B123:B128"/>
    <mergeCell ref="B54:B59"/>
    <mergeCell ref="B147:B152"/>
    <mergeCell ref="B60:B65"/>
    <mergeCell ref="B69:B74"/>
    <mergeCell ref="A67:F67"/>
    <mergeCell ref="A3:A32"/>
    <mergeCell ref="B87:B92"/>
    <mergeCell ref="A34:F34"/>
    <mergeCell ref="A111:A152"/>
    <mergeCell ref="B15:B20"/>
    <mergeCell ref="B9:B14"/>
    <mergeCell ref="B36:B41"/>
    <mergeCell ref="A36:A65"/>
    <mergeCell ref="B27:B32"/>
    <mergeCell ref="A96:A107"/>
    <mergeCell ref="B96:B101"/>
    <mergeCell ref="B3:B8"/>
    <mergeCell ref="B21:B26"/>
    <mergeCell ref="B48:B53"/>
    <mergeCell ref="B42:B47"/>
    <mergeCell ref="B141:B146"/>
    <mergeCell ref="B75:B80"/>
    <mergeCell ref="B135:B140"/>
    <mergeCell ref="A69:A92"/>
    <mergeCell ref="B81:B86"/>
    <mergeCell ref="B102:B107"/>
    <mergeCell ref="B117:B122"/>
    <mergeCell ref="B111:B116"/>
    <mergeCell ref="A109:F109"/>
  </mergeCells>
  <conditionalFormatting sqref="D3:D32">
    <cfRule type="cellIs" dxfId="23" priority="19" operator="equal">
      <formula>"Not Started"</formula>
    </cfRule>
    <cfRule type="cellIs" dxfId="22" priority="20" operator="equal">
      <formula>"In Progress"</formula>
    </cfRule>
    <cfRule type="cellIs" dxfId="21" priority="21" operator="equal">
      <formula>"Completed"</formula>
    </cfRule>
  </conditionalFormatting>
  <conditionalFormatting sqref="D36:D146">
    <cfRule type="cellIs" dxfId="20" priority="22" operator="equal">
      <formula>"Not Started"</formula>
    </cfRule>
    <cfRule type="cellIs" dxfId="19" priority="23" operator="equal">
      <formula>"In Progress"</formula>
    </cfRule>
    <cfRule type="cellIs" dxfId="18" priority="24" operator="equal">
      <formula>"Completed"</formula>
    </cfRule>
  </conditionalFormatting>
  <conditionalFormatting sqref="E3:E177">
    <cfRule type="cellIs" dxfId="17" priority="4" operator="equal">
      <formula>"Not Started"</formula>
    </cfRule>
    <cfRule type="cellIs" dxfId="16" priority="5" operator="equal">
      <formula>"In Progress"</formula>
    </cfRule>
    <cfRule type="cellIs" dxfId="15" priority="6" operator="equal">
      <formula>"Completed"</formula>
    </cfRule>
  </conditionalFormatting>
  <conditionalFormatting sqref="E181:E320">
    <cfRule type="cellIs" dxfId="14" priority="7" operator="equal">
      <formula>"Not Started"</formula>
    </cfRule>
    <cfRule type="cellIs" dxfId="13" priority="8" operator="equal">
      <formula>"In Progress"</formula>
    </cfRule>
    <cfRule type="cellIs" dxfId="12" priority="9" operator="equal">
      <formula>"Completed"</formula>
    </cfRule>
  </conditionalFormatting>
  <conditionalFormatting sqref="E324:E463">
    <cfRule type="cellIs" dxfId="11" priority="10" operator="equal">
      <formula>"Not Started"</formula>
    </cfRule>
    <cfRule type="cellIs" dxfId="10" priority="11" operator="equal">
      <formula>"In Progress"</formula>
    </cfRule>
    <cfRule type="cellIs" dxfId="9" priority="12" operator="equal">
      <formula>"Completed"</formula>
    </cfRule>
  </conditionalFormatting>
  <conditionalFormatting sqref="E467:E536">
    <cfRule type="cellIs" dxfId="8" priority="13" operator="equal">
      <formula>"Not Started"</formula>
    </cfRule>
    <cfRule type="cellIs" dxfId="7" priority="14" operator="equal">
      <formula>"In Progress"</formula>
    </cfRule>
    <cfRule type="cellIs" dxfId="6" priority="15" operator="equal">
      <formula>"Completed"</formula>
    </cfRule>
  </conditionalFormatting>
  <conditionalFormatting sqref="E540:E749">
    <cfRule type="cellIs" dxfId="5" priority="16" operator="equal">
      <formula>"Not Started"</formula>
    </cfRule>
    <cfRule type="cellIs" dxfId="4" priority="17" operator="equal">
      <formula>"In Progress"</formula>
    </cfRule>
    <cfRule type="cellIs" dxfId="3" priority="18" operator="equal">
      <formula>"Completed"</formula>
    </cfRule>
  </conditionalFormatting>
  <conditionalFormatting sqref="F2:F736">
    <cfRule type="cellIs" dxfId="2" priority="1" operator="equal">
      <formula>"Not Started"</formula>
    </cfRule>
    <cfRule type="cellIs" dxfId="1" priority="2" operator="equal">
      <formula>"In Progress"</formula>
    </cfRule>
    <cfRule type="cellIs" dxfId="0" priority="3" operator="equal">
      <formula>"Completed"</formula>
    </cfRule>
  </conditionalFormatting>
  <dataValidations count="4">
    <dataValidation type="list" allowBlank="1" sqref="D3:D32 D36:D146" xr:uid="{00000000-0002-0000-0200-000000000000}">
      <formula1>"Not Started,In Progress,Completed"</formula1>
    </dataValidation>
    <dataValidation type="list" allowBlank="1" sqref="E3:E32 E36:E146" xr:uid="{00000000-0002-0000-0200-000004000000}">
      <formula1>"Low,Medium,High"</formula1>
    </dataValidation>
    <dataValidation type="list" allowBlank="1" errorTitle="Invalid Entry" error="Invalid status" promptTitle="Status Options" prompt="Select status" sqref="E147:E177 F537:F539 F464:F466 F321:F323 F2 F178:F180 E540:E749 E467:E536 E33:E35 E324:E463 E181:E320" xr:uid="{00000000-0002-0000-0200-000006000000}">
      <formula1>"Not Started,In Progress,Completed"</formula1>
    </dataValidation>
    <dataValidation type="list" allowBlank="1" errorTitle="Invalid Entry" error="Invalid confidence level" promptTitle="Confidence" prompt="Select confidence" sqref="G2:G736 F540:F749 F467:G536 F324:G463 F3:G177 F181:G320" xr:uid="{00000000-0002-0000-0200-00000E000000}">
      <formula1>"Low,Medium,High"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="120" zoomScaleNormal="120" workbookViewId="0">
      <selection activeCell="E4" sqref="E4"/>
    </sheetView>
  </sheetViews>
  <sheetFormatPr defaultColWidth="17.7109375" defaultRowHeight="14.45" customHeight="1" x14ac:dyDescent="0.25"/>
  <cols>
    <col min="1" max="1" width="20" customWidth="1"/>
    <col min="2" max="6" width="45" customWidth="1"/>
    <col min="7" max="8" width="13" customWidth="1"/>
  </cols>
  <sheetData>
    <row r="1" spans="1:6" ht="30" customHeight="1" x14ac:dyDescent="0.25">
      <c r="A1" s="143" t="s">
        <v>139</v>
      </c>
      <c r="B1" s="94"/>
      <c r="C1" s="94"/>
      <c r="D1" s="94"/>
      <c r="E1" s="94"/>
      <c r="F1" s="95"/>
    </row>
    <row r="2" spans="1:6" ht="24" customHeight="1" x14ac:dyDescent="0.25">
      <c r="A2" s="52" t="s">
        <v>1</v>
      </c>
      <c r="B2" s="91" t="s">
        <v>109</v>
      </c>
      <c r="C2" s="91" t="s">
        <v>113</v>
      </c>
      <c r="D2" s="91" t="s">
        <v>117</v>
      </c>
      <c r="E2" s="91" t="s">
        <v>120</v>
      </c>
      <c r="F2" s="91" t="s">
        <v>123</v>
      </c>
    </row>
    <row r="3" spans="1:6" ht="120" customHeight="1" x14ac:dyDescent="0.25">
      <c r="A3" s="53" t="s">
        <v>7</v>
      </c>
      <c r="B3" s="54" t="s">
        <v>140</v>
      </c>
      <c r="C3" s="54" t="s">
        <v>141</v>
      </c>
      <c r="D3" s="54" t="s">
        <v>142</v>
      </c>
      <c r="E3" s="54" t="s">
        <v>143</v>
      </c>
      <c r="F3" s="54" t="s">
        <v>144</v>
      </c>
    </row>
    <row r="4" spans="1:6" ht="120" customHeight="1" x14ac:dyDescent="0.25">
      <c r="A4" s="53" t="s">
        <v>13</v>
      </c>
      <c r="B4" s="55" t="s">
        <v>145</v>
      </c>
      <c r="C4" s="55" t="s">
        <v>146</v>
      </c>
      <c r="D4" s="55" t="s">
        <v>147</v>
      </c>
      <c r="E4" s="55" t="s">
        <v>148</v>
      </c>
      <c r="F4" s="55" t="s">
        <v>149</v>
      </c>
    </row>
    <row r="5" spans="1:6" ht="120" customHeight="1" x14ac:dyDescent="0.25">
      <c r="A5" s="53" t="s">
        <v>19</v>
      </c>
      <c r="B5" s="54" t="s">
        <v>150</v>
      </c>
      <c r="C5" s="54" t="s">
        <v>151</v>
      </c>
      <c r="D5" s="54" t="s">
        <v>152</v>
      </c>
      <c r="E5" s="54" t="s">
        <v>153</v>
      </c>
      <c r="F5" s="54" t="s">
        <v>154</v>
      </c>
    </row>
    <row r="6" spans="1:6" ht="120" customHeight="1" x14ac:dyDescent="0.25">
      <c r="A6" s="53" t="s">
        <v>25</v>
      </c>
      <c r="B6" s="55" t="s">
        <v>155</v>
      </c>
      <c r="C6" s="55" t="s">
        <v>156</v>
      </c>
      <c r="D6" s="55" t="s">
        <v>157</v>
      </c>
      <c r="E6" s="55" t="s">
        <v>158</v>
      </c>
      <c r="F6" s="55" t="s">
        <v>159</v>
      </c>
    </row>
    <row r="7" spans="1:6" ht="120" customHeight="1" x14ac:dyDescent="0.25">
      <c r="A7" s="53" t="s">
        <v>31</v>
      </c>
      <c r="B7" s="54" t="s">
        <v>160</v>
      </c>
      <c r="C7" s="54" t="s">
        <v>161</v>
      </c>
      <c r="D7" s="54" t="s">
        <v>162</v>
      </c>
      <c r="E7" s="54" t="s">
        <v>163</v>
      </c>
      <c r="F7" s="54" t="s">
        <v>164</v>
      </c>
    </row>
    <row r="8" spans="1:6" ht="160.15" customHeight="1" x14ac:dyDescent="0.25">
      <c r="A8" s="56" t="s">
        <v>37</v>
      </c>
      <c r="B8" s="57" t="s">
        <v>165</v>
      </c>
      <c r="C8" s="57" t="s">
        <v>166</v>
      </c>
      <c r="D8" s="57" t="s">
        <v>167</v>
      </c>
      <c r="E8" s="57" t="s">
        <v>168</v>
      </c>
      <c r="F8" s="57" t="s">
        <v>169</v>
      </c>
    </row>
    <row r="9" spans="1:6" ht="46.9" customHeight="1" x14ac:dyDescent="0.25"/>
    <row r="10" spans="1:6" ht="46.9" customHeight="1" x14ac:dyDescent="0.25"/>
    <row r="11" spans="1:6" ht="46.9" customHeight="1" x14ac:dyDescent="0.25"/>
    <row r="12" spans="1:6" ht="46.9" customHeight="1" x14ac:dyDescent="0.25"/>
    <row r="13" spans="1:6" ht="46.9" customHeight="1" x14ac:dyDescent="0.25"/>
    <row r="14" spans="1:6" ht="46.9" customHeight="1" x14ac:dyDescent="0.25"/>
    <row r="15" spans="1:6" ht="46.9" customHeight="1" x14ac:dyDescent="0.25"/>
    <row r="16" spans="1:6" ht="46.9" customHeight="1" x14ac:dyDescent="0.25"/>
    <row r="17" ht="46.9" customHeight="1" x14ac:dyDescent="0.25"/>
    <row r="18" ht="46.9" customHeight="1" x14ac:dyDescent="0.25"/>
    <row r="19" ht="46.9" customHeight="1" x14ac:dyDescent="0.25"/>
    <row r="20" ht="46.9" customHeight="1" x14ac:dyDescent="0.25"/>
    <row r="21" ht="46.9" customHeight="1" x14ac:dyDescent="0.25"/>
    <row r="22" ht="46.9" customHeight="1" x14ac:dyDescent="0.25"/>
    <row r="23" ht="46.9" customHeight="1" x14ac:dyDescent="0.25"/>
    <row r="24" ht="46.9" customHeight="1" x14ac:dyDescent="0.25"/>
    <row r="25" ht="46.9" customHeight="1" x14ac:dyDescent="0.25"/>
    <row r="26" ht="46.9" customHeight="1" x14ac:dyDescent="0.25"/>
    <row r="27" ht="46.9" customHeight="1" x14ac:dyDescent="0.25"/>
    <row r="28" ht="187.15" customHeight="1" x14ac:dyDescent="0.25"/>
    <row r="29" ht="201.6" customHeight="1" x14ac:dyDescent="0.25"/>
    <row r="30" ht="172.9" customHeight="1" x14ac:dyDescent="0.25"/>
    <row r="31" ht="187.15" customHeight="1" x14ac:dyDescent="0.25"/>
    <row r="32" ht="172.9" customHeight="1" x14ac:dyDescent="0.25"/>
    <row r="33" ht="187.15" customHeight="1" x14ac:dyDescent="0.25"/>
    <row r="34" ht="187.15" customHeight="1" x14ac:dyDescent="0.25"/>
    <row r="35" ht="201.6" customHeight="1" x14ac:dyDescent="0.25"/>
    <row r="36" ht="172.9" customHeight="1" x14ac:dyDescent="0.25"/>
    <row r="37" ht="187.15" customHeight="1" x14ac:dyDescent="0.25"/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Normal="100" workbookViewId="0">
      <selection activeCell="F5" sqref="F5"/>
    </sheetView>
  </sheetViews>
  <sheetFormatPr defaultColWidth="8.85546875" defaultRowHeight="14.45" customHeight="1" x14ac:dyDescent="0.25"/>
  <cols>
    <col min="1" max="1" width="20" style="33" customWidth="1"/>
    <col min="2" max="2" width="45" style="33" customWidth="1"/>
    <col min="3" max="5" width="45" customWidth="1"/>
    <col min="6" max="9" width="45" style="33" customWidth="1"/>
    <col min="10" max="10" width="8.85546875" style="33" customWidth="1"/>
    <col min="11" max="16384" width="8.85546875" style="33"/>
  </cols>
  <sheetData>
    <row r="1" spans="1:6" ht="30" customHeight="1" x14ac:dyDescent="0.25">
      <c r="A1" s="93" t="s">
        <v>0</v>
      </c>
      <c r="B1" s="94"/>
      <c r="C1" s="94"/>
      <c r="D1" s="94"/>
      <c r="E1" s="94"/>
      <c r="F1" s="95"/>
    </row>
    <row r="2" spans="1:6" ht="24" customHeight="1" x14ac:dyDescent="0.25">
      <c r="A2" s="58" t="s">
        <v>1</v>
      </c>
      <c r="B2" s="91" t="s">
        <v>2</v>
      </c>
      <c r="C2" s="91" t="s">
        <v>3</v>
      </c>
      <c r="D2" s="91" t="s">
        <v>4</v>
      </c>
      <c r="E2" s="91" t="s">
        <v>5</v>
      </c>
      <c r="F2" s="91" t="s">
        <v>6</v>
      </c>
    </row>
    <row r="3" spans="1:6" ht="120" customHeight="1" x14ac:dyDescent="0.25">
      <c r="A3" s="59" t="s">
        <v>7</v>
      </c>
      <c r="B3" s="60" t="s">
        <v>8</v>
      </c>
      <c r="C3" s="60" t="s">
        <v>9</v>
      </c>
      <c r="D3" s="60" t="s">
        <v>10</v>
      </c>
      <c r="E3" s="60" t="s">
        <v>11</v>
      </c>
      <c r="F3" s="60" t="s">
        <v>12</v>
      </c>
    </row>
    <row r="4" spans="1:6" ht="120" customHeight="1" x14ac:dyDescent="0.25">
      <c r="A4" s="59" t="s">
        <v>13</v>
      </c>
      <c r="B4" s="55" t="s">
        <v>14</v>
      </c>
      <c r="C4" s="55" t="s">
        <v>15</v>
      </c>
      <c r="D4" s="55" t="s">
        <v>16</v>
      </c>
      <c r="E4" s="55" t="s">
        <v>17</v>
      </c>
      <c r="F4" s="55" t="s">
        <v>18</v>
      </c>
    </row>
    <row r="5" spans="1:6" ht="120" customHeight="1" x14ac:dyDescent="0.25">
      <c r="A5" s="59" t="s">
        <v>19</v>
      </c>
      <c r="B5" s="60" t="s">
        <v>20</v>
      </c>
      <c r="C5" s="60" t="s">
        <v>21</v>
      </c>
      <c r="D5" s="60" t="s">
        <v>22</v>
      </c>
      <c r="E5" s="60" t="s">
        <v>23</v>
      </c>
      <c r="F5" s="60" t="s">
        <v>24</v>
      </c>
    </row>
    <row r="6" spans="1:6" ht="120" customHeight="1" x14ac:dyDescent="0.25">
      <c r="A6" s="59" t="s">
        <v>25</v>
      </c>
      <c r="B6" s="55" t="s">
        <v>26</v>
      </c>
      <c r="C6" s="55" t="s">
        <v>27</v>
      </c>
      <c r="D6" s="55" t="s">
        <v>28</v>
      </c>
      <c r="E6" s="55" t="s">
        <v>29</v>
      </c>
      <c r="F6" s="55" t="s">
        <v>30</v>
      </c>
    </row>
    <row r="7" spans="1:6" ht="120" customHeight="1" x14ac:dyDescent="0.25">
      <c r="A7" s="59" t="s">
        <v>31</v>
      </c>
      <c r="B7" s="60" t="s">
        <v>32</v>
      </c>
      <c r="C7" s="60" t="s">
        <v>33</v>
      </c>
      <c r="D7" s="60" t="s">
        <v>34</v>
      </c>
      <c r="E7" s="60" t="s">
        <v>35</v>
      </c>
      <c r="F7" s="60" t="s">
        <v>36</v>
      </c>
    </row>
    <row r="8" spans="1:6" ht="160.15" customHeight="1" x14ac:dyDescent="0.25">
      <c r="A8" s="61" t="s">
        <v>37</v>
      </c>
      <c r="B8" s="62" t="s">
        <v>38</v>
      </c>
      <c r="C8" s="62" t="s">
        <v>39</v>
      </c>
      <c r="D8" s="62" t="s">
        <v>40</v>
      </c>
      <c r="E8" s="62" t="s">
        <v>41</v>
      </c>
      <c r="F8" s="62" t="s">
        <v>42</v>
      </c>
    </row>
    <row r="9" spans="1:6" ht="41.45" customHeight="1" x14ac:dyDescent="0.25"/>
    <row r="10" spans="1:6" ht="41.45" customHeight="1" x14ac:dyDescent="0.25"/>
    <row r="11" spans="1:6" ht="41.45" customHeight="1" x14ac:dyDescent="0.25"/>
    <row r="12" spans="1:6" ht="41.45" customHeight="1" x14ac:dyDescent="0.25"/>
    <row r="13" spans="1:6" ht="41.45" customHeight="1" x14ac:dyDescent="0.25"/>
    <row r="14" spans="1:6" ht="41.45" customHeight="1" x14ac:dyDescent="0.25"/>
    <row r="15" spans="1:6" ht="41.45" customHeight="1" x14ac:dyDescent="0.25"/>
    <row r="16" spans="1:6" ht="41.45" customHeight="1" x14ac:dyDescent="0.25"/>
    <row r="17" ht="41.45" customHeight="1" x14ac:dyDescent="0.25"/>
    <row r="18" ht="41.45" customHeight="1" x14ac:dyDescent="0.25"/>
    <row r="19" ht="41.45" customHeight="1" x14ac:dyDescent="0.25"/>
    <row r="20" ht="41.45" customHeight="1" x14ac:dyDescent="0.25"/>
    <row r="21" ht="41.45" customHeight="1" x14ac:dyDescent="0.25"/>
    <row r="22" ht="41.45" customHeight="1" x14ac:dyDescent="0.25"/>
    <row r="23" ht="41.45" customHeight="1" x14ac:dyDescent="0.25"/>
    <row r="24" ht="41.45" customHeight="1" x14ac:dyDescent="0.25"/>
    <row r="25" ht="41.45" customHeight="1" x14ac:dyDescent="0.25"/>
    <row r="26" ht="41.45" customHeight="1" x14ac:dyDescent="0.25"/>
    <row r="27" ht="41.45" customHeight="1" x14ac:dyDescent="0.25"/>
    <row r="28" ht="244.9" customHeight="1" x14ac:dyDescent="0.25"/>
    <row r="29" ht="244.9" customHeight="1" x14ac:dyDescent="0.25"/>
    <row r="30" ht="230.45" customHeight="1" x14ac:dyDescent="0.25"/>
    <row r="31" ht="259.14999999999998" customHeight="1" x14ac:dyDescent="0.25"/>
    <row r="32" ht="216" customHeight="1" x14ac:dyDescent="0.25"/>
    <row r="33" ht="230.45" customHeight="1" x14ac:dyDescent="0.25"/>
    <row r="34" ht="216" customHeight="1" x14ac:dyDescent="0.25"/>
    <row r="35" ht="230.45" customHeight="1" x14ac:dyDescent="0.25"/>
    <row r="36" ht="201.6" customHeight="1" x14ac:dyDescent="0.25"/>
    <row r="37" ht="259.14999999999998" customHeight="1" x14ac:dyDescent="0.25"/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zoomScaleNormal="100" workbookViewId="0">
      <selection activeCell="B6" sqref="B6"/>
    </sheetView>
  </sheetViews>
  <sheetFormatPr defaultColWidth="15.7109375" defaultRowHeight="14.45" customHeight="1" x14ac:dyDescent="0.25"/>
  <cols>
    <col min="1" max="1" width="20" style="33" customWidth="1"/>
    <col min="2" max="2" width="45" style="33" customWidth="1"/>
    <col min="3" max="5" width="45" customWidth="1"/>
    <col min="6" max="6" width="15.7109375" style="33" customWidth="1"/>
    <col min="7" max="16384" width="15.7109375" style="33"/>
  </cols>
  <sheetData>
    <row r="1" spans="1:5" ht="30" customHeight="1" x14ac:dyDescent="0.25">
      <c r="A1" s="144" t="s">
        <v>170</v>
      </c>
      <c r="B1" s="94"/>
      <c r="C1" s="94"/>
      <c r="D1" s="94"/>
      <c r="E1" s="95"/>
    </row>
    <row r="2" spans="1:5" ht="24" customHeight="1" x14ac:dyDescent="0.25">
      <c r="A2" s="63" t="s">
        <v>1</v>
      </c>
      <c r="B2" s="91" t="s">
        <v>110</v>
      </c>
      <c r="C2" s="91" t="s">
        <v>114</v>
      </c>
      <c r="D2" s="91" t="s">
        <v>118</v>
      </c>
      <c r="E2" s="91" t="s">
        <v>121</v>
      </c>
    </row>
    <row r="3" spans="1:5" ht="120" customHeight="1" x14ac:dyDescent="0.25">
      <c r="A3" s="64" t="s">
        <v>7</v>
      </c>
      <c r="B3" s="65" t="s">
        <v>171</v>
      </c>
      <c r="C3" s="65" t="s">
        <v>172</v>
      </c>
      <c r="D3" s="65" t="s">
        <v>173</v>
      </c>
      <c r="E3" s="65" t="s">
        <v>174</v>
      </c>
    </row>
    <row r="4" spans="1:5" ht="120" customHeight="1" x14ac:dyDescent="0.25">
      <c r="A4" s="64" t="s">
        <v>13</v>
      </c>
      <c r="B4" s="55" t="s">
        <v>175</v>
      </c>
      <c r="C4" s="55" t="s">
        <v>176</v>
      </c>
      <c r="D4" s="55" t="s">
        <v>177</v>
      </c>
      <c r="E4" s="55" t="s">
        <v>178</v>
      </c>
    </row>
    <row r="5" spans="1:5" ht="120" customHeight="1" x14ac:dyDescent="0.25">
      <c r="A5" s="64" t="s">
        <v>19</v>
      </c>
      <c r="B5" s="65" t="s">
        <v>179</v>
      </c>
      <c r="C5" s="65" t="s">
        <v>180</v>
      </c>
      <c r="D5" s="65" t="s">
        <v>181</v>
      </c>
      <c r="E5" s="65" t="s">
        <v>182</v>
      </c>
    </row>
    <row r="6" spans="1:5" ht="120" customHeight="1" x14ac:dyDescent="0.25">
      <c r="A6" s="64" t="s">
        <v>25</v>
      </c>
      <c r="B6" s="55" t="s">
        <v>183</v>
      </c>
      <c r="C6" s="55" t="s">
        <v>184</v>
      </c>
      <c r="D6" s="55" t="s">
        <v>185</v>
      </c>
      <c r="E6" s="55" t="s">
        <v>186</v>
      </c>
    </row>
    <row r="7" spans="1:5" ht="120" customHeight="1" x14ac:dyDescent="0.25">
      <c r="A7" s="64" t="s">
        <v>31</v>
      </c>
      <c r="B7" s="65" t="s">
        <v>187</v>
      </c>
      <c r="C7" s="65" t="s">
        <v>188</v>
      </c>
      <c r="D7" s="65" t="s">
        <v>189</v>
      </c>
      <c r="E7" s="65" t="s">
        <v>190</v>
      </c>
    </row>
    <row r="8" spans="1:5" ht="160.15" customHeight="1" x14ac:dyDescent="0.25">
      <c r="A8" s="66" t="s">
        <v>37</v>
      </c>
      <c r="B8" s="67" t="s">
        <v>191</v>
      </c>
      <c r="C8" s="67" t="s">
        <v>192</v>
      </c>
      <c r="D8" s="67" t="s">
        <v>193</v>
      </c>
      <c r="E8" s="67" t="s">
        <v>194</v>
      </c>
    </row>
    <row r="9" spans="1:5" ht="37.9" customHeight="1" x14ac:dyDescent="0.25"/>
    <row r="10" spans="1:5" ht="37.9" customHeight="1" x14ac:dyDescent="0.25"/>
    <row r="11" spans="1:5" ht="37.9" customHeight="1" x14ac:dyDescent="0.25"/>
    <row r="12" spans="1:5" ht="37.9" customHeight="1" x14ac:dyDescent="0.25"/>
    <row r="13" spans="1:5" ht="37.9" customHeight="1" x14ac:dyDescent="0.25"/>
    <row r="14" spans="1:5" ht="37.9" customHeight="1" x14ac:dyDescent="0.25"/>
    <row r="15" spans="1:5" ht="37.9" customHeight="1" x14ac:dyDescent="0.25"/>
    <row r="16" spans="1:5" ht="37.9" customHeight="1" x14ac:dyDescent="0.25"/>
    <row r="17" ht="37.9" customHeight="1" x14ac:dyDescent="0.25"/>
    <row r="18" ht="37.9" customHeight="1" x14ac:dyDescent="0.25"/>
    <row r="19" ht="37.9" customHeight="1" x14ac:dyDescent="0.25"/>
    <row r="20" ht="37.9" customHeight="1" x14ac:dyDescent="0.25"/>
    <row r="21" ht="37.9" customHeight="1" x14ac:dyDescent="0.25"/>
    <row r="22" ht="37.9" customHeight="1" x14ac:dyDescent="0.25"/>
    <row r="23" ht="37.9" customHeight="1" x14ac:dyDescent="0.25"/>
    <row r="24" ht="37.9" customHeight="1" x14ac:dyDescent="0.25"/>
    <row r="25" ht="37.9" customHeight="1" x14ac:dyDescent="0.25"/>
    <row r="26" ht="37.9" customHeight="1" x14ac:dyDescent="0.25"/>
    <row r="27" ht="37.9" customHeight="1" x14ac:dyDescent="0.25"/>
    <row r="28" ht="115.15" customHeight="1" x14ac:dyDescent="0.25"/>
    <row r="29" ht="115.15" customHeight="1" x14ac:dyDescent="0.25"/>
    <row r="30" ht="115.15" customHeight="1" x14ac:dyDescent="0.25"/>
    <row r="31" ht="100.9" customHeight="1" x14ac:dyDescent="0.25"/>
    <row r="32" ht="115.15" customHeight="1" x14ac:dyDescent="0.25"/>
    <row r="33" ht="129.6" customHeight="1" x14ac:dyDescent="0.25"/>
    <row r="34" ht="129.6" customHeight="1" x14ac:dyDescent="0.25"/>
    <row r="35" ht="129.6" customHeight="1" x14ac:dyDescent="0.25"/>
    <row r="36" ht="100.9" customHeight="1" x14ac:dyDescent="0.25"/>
    <row r="37" ht="129.6" customHeight="1" x14ac:dyDescent="0.25"/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zoomScaleNormal="100" workbookViewId="0">
      <selection activeCell="E5" sqref="E5"/>
    </sheetView>
  </sheetViews>
  <sheetFormatPr defaultRowHeight="14.45" customHeight="1" x14ac:dyDescent="0.25"/>
  <cols>
    <col min="1" max="1" width="20" customWidth="1"/>
    <col min="2" max="3" width="45" customWidth="1"/>
    <col min="4" max="4" width="36.5703125" customWidth="1"/>
  </cols>
  <sheetData>
    <row r="1" spans="1:3" ht="30" customHeight="1" x14ac:dyDescent="0.25">
      <c r="A1" s="145" t="s">
        <v>195</v>
      </c>
      <c r="B1" s="94"/>
      <c r="C1" s="95"/>
    </row>
    <row r="2" spans="1:3" ht="24" customHeight="1" x14ac:dyDescent="0.25">
      <c r="A2" s="68" t="s">
        <v>1</v>
      </c>
      <c r="B2" s="91" t="s">
        <v>111</v>
      </c>
      <c r="C2" s="91" t="s">
        <v>115</v>
      </c>
    </row>
    <row r="3" spans="1:3" ht="120" customHeight="1" x14ac:dyDescent="0.25">
      <c r="A3" s="69" t="s">
        <v>7</v>
      </c>
      <c r="B3" s="70" t="s">
        <v>196</v>
      </c>
      <c r="C3" s="70" t="s">
        <v>197</v>
      </c>
    </row>
    <row r="4" spans="1:3" ht="120" customHeight="1" x14ac:dyDescent="0.25">
      <c r="A4" s="69" t="s">
        <v>13</v>
      </c>
      <c r="B4" s="55" t="s">
        <v>198</v>
      </c>
      <c r="C4" s="55" t="s">
        <v>199</v>
      </c>
    </row>
    <row r="5" spans="1:3" ht="120" customHeight="1" x14ac:dyDescent="0.25">
      <c r="A5" s="69" t="s">
        <v>19</v>
      </c>
      <c r="B5" s="70" t="s">
        <v>200</v>
      </c>
      <c r="C5" s="70" t="s">
        <v>201</v>
      </c>
    </row>
    <row r="6" spans="1:3" ht="120" customHeight="1" x14ac:dyDescent="0.25">
      <c r="A6" s="69" t="s">
        <v>25</v>
      </c>
      <c r="B6" s="55" t="s">
        <v>202</v>
      </c>
      <c r="C6" s="55" t="s">
        <v>203</v>
      </c>
    </row>
    <row r="7" spans="1:3" ht="120" customHeight="1" x14ac:dyDescent="0.25">
      <c r="A7" s="69" t="s">
        <v>31</v>
      </c>
      <c r="B7" s="70" t="s">
        <v>204</v>
      </c>
      <c r="C7" s="70" t="s">
        <v>205</v>
      </c>
    </row>
    <row r="8" spans="1:3" ht="160.15" customHeight="1" x14ac:dyDescent="0.25">
      <c r="A8" s="71" t="s">
        <v>37</v>
      </c>
      <c r="B8" s="72" t="s">
        <v>206</v>
      </c>
      <c r="C8" s="72" t="s">
        <v>207</v>
      </c>
    </row>
    <row r="9" spans="1:3" ht="32.450000000000003" customHeight="1" x14ac:dyDescent="0.25"/>
    <row r="10" spans="1:3" ht="32.450000000000003" customHeight="1" x14ac:dyDescent="0.25"/>
    <row r="11" spans="1:3" ht="32.450000000000003" customHeight="1" x14ac:dyDescent="0.25"/>
    <row r="12" spans="1:3" ht="32.450000000000003" customHeight="1" x14ac:dyDescent="0.25"/>
    <row r="13" spans="1:3" ht="32.450000000000003" customHeight="1" x14ac:dyDescent="0.25"/>
    <row r="14" spans="1:3" ht="32.450000000000003" customHeight="1" x14ac:dyDescent="0.25"/>
    <row r="15" spans="1:3" ht="32.450000000000003" customHeight="1" x14ac:dyDescent="0.25"/>
    <row r="16" spans="1:3" ht="32.450000000000003" customHeight="1" x14ac:dyDescent="0.25"/>
    <row r="17" ht="32.450000000000003" customHeight="1" x14ac:dyDescent="0.25"/>
    <row r="18" ht="32.450000000000003" customHeight="1" x14ac:dyDescent="0.25"/>
    <row r="19" ht="32.450000000000003" customHeight="1" x14ac:dyDescent="0.25"/>
    <row r="20" ht="32.450000000000003" customHeight="1" x14ac:dyDescent="0.25"/>
    <row r="21" ht="32.450000000000003" customHeight="1" x14ac:dyDescent="0.25"/>
    <row r="22" ht="32.450000000000003" customHeight="1" x14ac:dyDescent="0.25"/>
    <row r="23" ht="32.450000000000003" customHeight="1" x14ac:dyDescent="0.25"/>
    <row r="24" ht="32.450000000000003" customHeight="1" x14ac:dyDescent="0.25"/>
    <row r="25" ht="32.450000000000003" customHeight="1" x14ac:dyDescent="0.25"/>
    <row r="26" ht="32.450000000000003" customHeight="1" x14ac:dyDescent="0.25"/>
    <row r="27" ht="32.450000000000003" customHeight="1" x14ac:dyDescent="0.25"/>
    <row r="28" ht="244.9" customHeight="1" x14ac:dyDescent="0.25"/>
    <row r="29" ht="201.6" customHeight="1" x14ac:dyDescent="0.25"/>
    <row r="30" ht="201.6" customHeight="1" x14ac:dyDescent="0.25"/>
    <row r="31" ht="187.15" customHeight="1" x14ac:dyDescent="0.25"/>
    <row r="32" ht="216" customHeight="1" x14ac:dyDescent="0.25"/>
    <row r="33" ht="187.15" customHeight="1" x14ac:dyDescent="0.25"/>
    <row r="34" ht="187.15" customHeight="1" x14ac:dyDescent="0.25"/>
    <row r="35" ht="158.44999999999999" customHeight="1" x14ac:dyDescent="0.25"/>
    <row r="36" ht="216" customHeight="1" x14ac:dyDescent="0.25"/>
    <row r="37" ht="216" customHeight="1" x14ac:dyDescent="0.25"/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zoomScaleNormal="100" workbookViewId="0">
      <selection activeCell="B6" sqref="B6"/>
    </sheetView>
  </sheetViews>
  <sheetFormatPr defaultRowHeight="14.45" customHeight="1" x14ac:dyDescent="0.25"/>
  <cols>
    <col min="1" max="1" width="15" customWidth="1"/>
    <col min="2" max="8" width="45" customWidth="1"/>
  </cols>
  <sheetData>
    <row r="1" spans="1:8" ht="30" customHeight="1" x14ac:dyDescent="0.25">
      <c r="A1" s="146" t="s">
        <v>208</v>
      </c>
      <c r="B1" s="94"/>
      <c r="C1" s="94"/>
      <c r="D1" s="94"/>
      <c r="E1" s="94"/>
      <c r="F1" s="94"/>
      <c r="G1" s="94"/>
      <c r="H1" s="95"/>
    </row>
    <row r="2" spans="1:8" ht="24" customHeight="1" x14ac:dyDescent="0.25">
      <c r="A2" s="73" t="s">
        <v>1</v>
      </c>
      <c r="B2" s="91" t="s">
        <v>112</v>
      </c>
      <c r="C2" s="91" t="s">
        <v>116</v>
      </c>
      <c r="D2" s="91" t="s">
        <v>119</v>
      </c>
      <c r="E2" s="91" t="s">
        <v>122</v>
      </c>
      <c r="F2" s="91" t="s">
        <v>124</v>
      </c>
      <c r="G2" s="86" t="s">
        <v>125</v>
      </c>
      <c r="H2" s="86" t="s">
        <v>126</v>
      </c>
    </row>
    <row r="3" spans="1:8" ht="120" customHeight="1" x14ac:dyDescent="0.25">
      <c r="A3" s="74" t="s">
        <v>7</v>
      </c>
      <c r="B3" s="75" t="s">
        <v>209</v>
      </c>
      <c r="C3" s="75" t="s">
        <v>210</v>
      </c>
      <c r="D3" s="75" t="s">
        <v>211</v>
      </c>
      <c r="E3" s="75" t="s">
        <v>212</v>
      </c>
      <c r="F3" s="75" t="s">
        <v>213</v>
      </c>
      <c r="G3" s="87" t="s">
        <v>214</v>
      </c>
      <c r="H3" s="88" t="s">
        <v>215</v>
      </c>
    </row>
    <row r="4" spans="1:8" ht="120" customHeight="1" x14ac:dyDescent="0.25">
      <c r="A4" s="74" t="s">
        <v>13</v>
      </c>
      <c r="B4" s="55" t="s">
        <v>216</v>
      </c>
      <c r="C4" s="55" t="s">
        <v>217</v>
      </c>
      <c r="D4" s="55" t="s">
        <v>218</v>
      </c>
      <c r="E4" s="55" t="s">
        <v>219</v>
      </c>
      <c r="F4" s="55" t="s">
        <v>220</v>
      </c>
      <c r="G4" s="89" t="s">
        <v>221</v>
      </c>
      <c r="H4" s="88" t="s">
        <v>222</v>
      </c>
    </row>
    <row r="5" spans="1:8" ht="120" customHeight="1" x14ac:dyDescent="0.25">
      <c r="A5" s="74" t="s">
        <v>19</v>
      </c>
      <c r="B5" s="75" t="s">
        <v>223</v>
      </c>
      <c r="C5" s="75" t="s">
        <v>224</v>
      </c>
      <c r="D5" s="75" t="s">
        <v>225</v>
      </c>
      <c r="E5" s="75" t="s">
        <v>226</v>
      </c>
      <c r="F5" s="75" t="s">
        <v>227</v>
      </c>
      <c r="G5" s="87" t="s">
        <v>228</v>
      </c>
      <c r="H5" s="88" t="s">
        <v>229</v>
      </c>
    </row>
    <row r="6" spans="1:8" ht="120" customHeight="1" x14ac:dyDescent="0.25">
      <c r="A6" s="74" t="s">
        <v>25</v>
      </c>
      <c r="B6" s="55" t="s">
        <v>230</v>
      </c>
      <c r="C6" s="55" t="s">
        <v>231</v>
      </c>
      <c r="D6" s="55" t="s">
        <v>232</v>
      </c>
      <c r="E6" s="55" t="s">
        <v>233</v>
      </c>
      <c r="F6" s="55" t="s">
        <v>234</v>
      </c>
      <c r="G6" s="89" t="s">
        <v>235</v>
      </c>
      <c r="H6" s="88" t="s">
        <v>236</v>
      </c>
    </row>
    <row r="7" spans="1:8" ht="120" customHeight="1" x14ac:dyDescent="0.25">
      <c r="A7" s="74" t="s">
        <v>31</v>
      </c>
      <c r="B7" s="75" t="s">
        <v>237</v>
      </c>
      <c r="C7" s="75" t="s">
        <v>238</v>
      </c>
      <c r="D7" s="75" t="s">
        <v>239</v>
      </c>
      <c r="E7" s="75" t="s">
        <v>240</v>
      </c>
      <c r="F7" s="75" t="s">
        <v>241</v>
      </c>
      <c r="G7" s="87" t="s">
        <v>242</v>
      </c>
      <c r="H7" s="88" t="s">
        <v>243</v>
      </c>
    </row>
    <row r="8" spans="1:8" ht="160.15" customHeight="1" x14ac:dyDescent="0.25">
      <c r="A8" s="76" t="s">
        <v>37</v>
      </c>
      <c r="B8" s="77" t="s">
        <v>244</v>
      </c>
      <c r="C8" s="77" t="s">
        <v>245</v>
      </c>
      <c r="D8" s="77" t="s">
        <v>246</v>
      </c>
      <c r="E8" s="77" t="s">
        <v>247</v>
      </c>
      <c r="F8" s="77" t="s">
        <v>248</v>
      </c>
      <c r="G8" s="90" t="s">
        <v>249</v>
      </c>
      <c r="H8" s="88" t="s">
        <v>250</v>
      </c>
    </row>
    <row r="9" spans="1:8" ht="43.15" customHeight="1" x14ac:dyDescent="0.25"/>
    <row r="10" spans="1:8" ht="43.15" customHeight="1" x14ac:dyDescent="0.25"/>
    <row r="11" spans="1:8" ht="43.15" customHeight="1" x14ac:dyDescent="0.25"/>
    <row r="12" spans="1:8" ht="43.15" customHeight="1" x14ac:dyDescent="0.25"/>
    <row r="13" spans="1:8" ht="43.15" customHeight="1" x14ac:dyDescent="0.25"/>
    <row r="14" spans="1:8" ht="43.15" customHeight="1" x14ac:dyDescent="0.25"/>
    <row r="15" spans="1:8" ht="43.15" customHeight="1" x14ac:dyDescent="0.25"/>
    <row r="16" spans="1:8" ht="43.15" customHeight="1" x14ac:dyDescent="0.25"/>
    <row r="17" ht="43.15" customHeight="1" x14ac:dyDescent="0.25"/>
    <row r="18" ht="43.15" customHeight="1" x14ac:dyDescent="0.25"/>
    <row r="19" ht="43.15" customHeight="1" x14ac:dyDescent="0.25"/>
    <row r="20" ht="43.15" customHeight="1" x14ac:dyDescent="0.25"/>
    <row r="21" ht="43.15" customHeight="1" x14ac:dyDescent="0.25"/>
    <row r="22" ht="43.15" customHeight="1" x14ac:dyDescent="0.25"/>
    <row r="23" ht="43.15" customHeight="1" x14ac:dyDescent="0.25"/>
    <row r="24" ht="43.15" customHeight="1" x14ac:dyDescent="0.25"/>
    <row r="25" ht="43.15" customHeight="1" x14ac:dyDescent="0.25"/>
    <row r="26" ht="43.15" customHeight="1" x14ac:dyDescent="0.25"/>
    <row r="27" ht="43.15" customHeight="1" x14ac:dyDescent="0.25"/>
    <row r="28" ht="172.9" customHeight="1" x14ac:dyDescent="0.25"/>
    <row r="29" ht="172.9" customHeight="1" x14ac:dyDescent="0.25"/>
    <row r="30" ht="187.15" customHeight="1" x14ac:dyDescent="0.25"/>
    <row r="31" ht="172.9" customHeight="1" x14ac:dyDescent="0.25"/>
    <row r="32" ht="172.9" customHeight="1" x14ac:dyDescent="0.25"/>
    <row r="33" ht="172.9" customHeight="1" x14ac:dyDescent="0.25"/>
    <row r="34" ht="172.9" customHeight="1" x14ac:dyDescent="0.25"/>
    <row r="35" ht="158.44999999999999" customHeight="1" x14ac:dyDescent="0.25"/>
    <row r="36" ht="158.44999999999999" customHeight="1" x14ac:dyDescent="0.25"/>
    <row r="37" ht="158.44999999999999" customHeight="1" x14ac:dyDescent="0.25"/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Normal="100" workbookViewId="0"/>
  </sheetViews>
  <sheetFormatPr defaultRowHeight="14.45" customHeight="1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"/>
  <sheetViews>
    <sheetView workbookViewId="0"/>
  </sheetViews>
  <sheetFormatPr defaultRowHeight="15" x14ac:dyDescent="0.25"/>
  <cols>
    <col min="1" max="8" width="25" customWidth="1"/>
  </cols>
  <sheetData>
    <row r="1" spans="1:8" ht="16.5" x14ac:dyDescent="0.25">
      <c r="A1" s="92" t="s">
        <v>129</v>
      </c>
      <c r="B1" s="92" t="s">
        <v>128</v>
      </c>
      <c r="C1" s="92" t="s">
        <v>1</v>
      </c>
      <c r="D1" s="92" t="s">
        <v>251</v>
      </c>
      <c r="E1" s="92" t="s">
        <v>252</v>
      </c>
      <c r="F1" s="92" t="s">
        <v>253</v>
      </c>
      <c r="G1" s="92" t="s">
        <v>254</v>
      </c>
      <c r="H1" s="92" t="s">
        <v>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"/>
  <sheetViews>
    <sheetView workbookViewId="0"/>
  </sheetViews>
  <sheetFormatPr defaultRowHeight="15" x14ac:dyDescent="0.25"/>
  <cols>
    <col min="1" max="8" width="25" customWidth="1"/>
  </cols>
  <sheetData>
    <row r="1" spans="1:8" ht="16.5" x14ac:dyDescent="0.25">
      <c r="A1" s="92" t="s">
        <v>129</v>
      </c>
      <c r="B1" s="92" t="s">
        <v>128</v>
      </c>
      <c r="C1" s="92" t="s">
        <v>1</v>
      </c>
      <c r="D1" s="92" t="s">
        <v>251</v>
      </c>
      <c r="E1" s="92" t="s">
        <v>256</v>
      </c>
      <c r="F1" s="92" t="s">
        <v>257</v>
      </c>
      <c r="G1" s="92" t="s">
        <v>258</v>
      </c>
      <c r="H1" s="92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Subject Map</vt:lpstr>
      <vt:lpstr>Tracker</vt:lpstr>
      <vt:lpstr>Software Engineering</vt:lpstr>
      <vt:lpstr>AI</vt:lpstr>
      <vt:lpstr>Core CS</vt:lpstr>
      <vt:lpstr>Aptitude</vt:lpstr>
      <vt:lpstr>Web Development</vt:lpstr>
      <vt:lpstr>Resources</vt:lpstr>
      <vt:lpstr>Examples</vt:lpstr>
      <vt:lpstr>Diagrams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Bhadauria</cp:lastModifiedBy>
  <dcterms:created xsi:type="dcterms:W3CDTF">2015-06-05T18:17:20Z</dcterms:created>
  <dcterms:modified xsi:type="dcterms:W3CDTF">2026-07-02T17:12:49Z</dcterms:modified>
</cp:coreProperties>
</file>